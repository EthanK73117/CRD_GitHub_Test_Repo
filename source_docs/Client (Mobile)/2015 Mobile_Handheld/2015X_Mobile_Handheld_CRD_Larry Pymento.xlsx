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burkho\Desktop\CME_QRE\CRD for Mobile_Client\"/>
    </mc:Choice>
  </mc:AlternateContent>
  <bookViews>
    <workbookView xWindow="720" yWindow="600" windowWidth="12888" windowHeight="4776"/>
  </bookViews>
  <sheets>
    <sheet name="Client" sheetId="19" r:id="rId1"/>
    <sheet name="HH" sheetId="18" r:id="rId2"/>
  </sheets>
  <calcPr calcId="152511"/>
</workbook>
</file>

<file path=xl/calcChain.xml><?xml version="1.0" encoding="utf-8"?>
<calcChain xmlns="http://schemas.openxmlformats.org/spreadsheetml/2006/main">
  <c r="N44" i="19" l="1"/>
  <c r="P22" i="19"/>
  <c r="P14" i="19"/>
  <c r="P13" i="19"/>
  <c r="P11" i="19"/>
  <c r="P4" i="19"/>
  <c r="P3" i="19"/>
</calcChain>
</file>

<file path=xl/sharedStrings.xml><?xml version="1.0" encoding="utf-8"?>
<sst xmlns="http://schemas.openxmlformats.org/spreadsheetml/2006/main" count="857" uniqueCount="360">
  <si>
    <t>Samsung</t>
  </si>
  <si>
    <t>Apple</t>
  </si>
  <si>
    <t>Notes</t>
  </si>
  <si>
    <t>Stencil Thickness</t>
  </si>
  <si>
    <t>Pallet</t>
  </si>
  <si>
    <t>Asus</t>
  </si>
  <si>
    <t>Dell</t>
  </si>
  <si>
    <t>HP</t>
  </si>
  <si>
    <t>Parameters</t>
  </si>
  <si>
    <t>SOLDER PASTE PRINT</t>
  </si>
  <si>
    <t>Solder Paste</t>
  </si>
  <si>
    <t>Stencil Aperture Design</t>
  </si>
  <si>
    <t xml:space="preserve">Print Speed </t>
  </si>
  <si>
    <t>Print Pressure</t>
  </si>
  <si>
    <t>Stencil Manufacturing Process</t>
  </si>
  <si>
    <t>Seperation Speed</t>
  </si>
  <si>
    <t>Stencil .brd file attached</t>
  </si>
  <si>
    <t>Stencil vendor name</t>
  </si>
  <si>
    <t>Screen print Machine model/vendor name</t>
  </si>
  <si>
    <t>SOLDER PASTE INSPECTION</t>
  </si>
  <si>
    <t>Paste Volume Control Limit</t>
  </si>
  <si>
    <t>Paste Hieght Control Limit</t>
  </si>
  <si>
    <t>Paste Area Control Limit</t>
  </si>
  <si>
    <t>Machine model/vendor name</t>
  </si>
  <si>
    <t>PNP</t>
  </si>
  <si>
    <t>Component Placement</t>
  </si>
  <si>
    <t>Nozzle Diameter</t>
  </si>
  <si>
    <t>Component Hieght (Pre-SMT)</t>
  </si>
  <si>
    <t>Placement Speed</t>
  </si>
  <si>
    <t>REFLOW</t>
  </si>
  <si>
    <t>Peak Temp</t>
  </si>
  <si>
    <t xml:space="preserve">TAL </t>
  </si>
  <si>
    <t xml:space="preserve">Soak Temp and Time </t>
  </si>
  <si>
    <t xml:space="preserve">Delta T </t>
  </si>
  <si>
    <t xml:space="preserve">Clamping / No Clamping </t>
  </si>
  <si>
    <t>Board Handling</t>
  </si>
  <si>
    <t xml:space="preserve">Belt Speed </t>
  </si>
  <si>
    <t xml:space="preserve">N2 </t>
  </si>
  <si>
    <t>Reflow profile file attached</t>
  </si>
  <si>
    <t>0.08mm</t>
  </si>
  <si>
    <t>Shenmao PF606-P</t>
  </si>
  <si>
    <t>60mm/s</t>
  </si>
  <si>
    <t>80x10^-2 N</t>
  </si>
  <si>
    <t>Laser Cut</t>
  </si>
  <si>
    <t>5mm/s</t>
  </si>
  <si>
    <t>N/A</t>
  </si>
  <si>
    <t>FOSEN</t>
  </si>
  <si>
    <t>Panasonic SP60L</t>
  </si>
  <si>
    <t>TR7000L</t>
  </si>
  <si>
    <t>6x4mm out size, D 3mm round internal size</t>
  </si>
  <si>
    <t>0.7mm</t>
  </si>
  <si>
    <t>Panasonic CM602-L</t>
  </si>
  <si>
    <t>Flux</t>
  </si>
  <si>
    <t>Koki TF-MP1</t>
  </si>
  <si>
    <t>Deepth</t>
  </si>
  <si>
    <t>0.2mm (80% ball height)</t>
  </si>
  <si>
    <t>208sec, 50C-220C</t>
  </si>
  <si>
    <t>Dedicated</t>
  </si>
  <si>
    <t>Clamping</t>
  </si>
  <si>
    <t>Manual</t>
  </si>
  <si>
    <t>0.9m/min</t>
  </si>
  <si>
    <t>4500PPM</t>
  </si>
  <si>
    <t>Tamura, 10 zone</t>
  </si>
  <si>
    <t>See attach file</t>
  </si>
  <si>
    <t>Reflow  profile board part #</t>
  </si>
  <si>
    <t>              SMT line/process</t>
  </si>
  <si>
    <t xml:space="preserve">Quanta </t>
  </si>
  <si>
    <t>Alpha OM340</t>
  </si>
  <si>
    <t>Follow MAS</t>
  </si>
  <si>
    <t>40mm/s</t>
  </si>
  <si>
    <t>4kg</t>
  </si>
  <si>
    <t>1mm/s</t>
  </si>
  <si>
    <t>Sunshine</t>
  </si>
  <si>
    <t>DEK</t>
  </si>
  <si>
    <t>75%/125%</t>
  </si>
  <si>
    <t>KY-8030L</t>
  </si>
  <si>
    <t>Unknown</t>
  </si>
  <si>
    <t>Foxconn use Flux dispense method, not flux dip</t>
  </si>
  <si>
    <t>66S &gt; 217C</t>
  </si>
  <si>
    <t>105s 130-200C, 35~45s 200-217c</t>
  </si>
  <si>
    <t> No Clamping</t>
  </si>
  <si>
    <t>0.75m/min</t>
  </si>
  <si>
    <t>&lt; 800PPM</t>
  </si>
  <si>
    <t>Unknown brand, 12 zone</t>
  </si>
  <si>
    <t>130 145 165 180 190 190 210 232 232 240 250 255 (Leveraging Apple iPad profile requirement)</t>
  </si>
  <si>
    <t>Foxconn</t>
  </si>
  <si>
    <t>BYD</t>
  </si>
  <si>
    <t>Pegtron</t>
  </si>
  <si>
    <t>LGE</t>
  </si>
  <si>
    <t>Senju SAC305 Type5</t>
    <phoneticPr fontId="0"/>
  </si>
  <si>
    <t>Φ0.24mm round</t>
    <phoneticPr fontId="0"/>
  </si>
  <si>
    <t>40*10-2N/mm</t>
    <phoneticPr fontId="0"/>
  </si>
  <si>
    <t>30mm/s</t>
    <phoneticPr fontId="0"/>
  </si>
  <si>
    <t>Laser cut with electrial polishing</t>
    <phoneticPr fontId="0"/>
  </si>
  <si>
    <t>5mm/s</t>
    <phoneticPr fontId="0"/>
  </si>
  <si>
    <t>Beijing Sunshine Laser Technology Co., LTD</t>
    <phoneticPr fontId="0"/>
  </si>
  <si>
    <t>SP60P-M / Panasonic</t>
    <phoneticPr fontId="0"/>
  </si>
  <si>
    <t>40%~180% for each pad and 70%~120% for panel average</t>
    <phoneticPr fontId="0"/>
  </si>
  <si>
    <t>MK5401E / Anritsu</t>
    <phoneticPr fontId="0"/>
  </si>
  <si>
    <t>Medium</t>
    <phoneticPr fontId="0"/>
  </si>
  <si>
    <t>6.0mm</t>
    <phoneticPr fontId="0"/>
  </si>
  <si>
    <t>Panasonic CM602</t>
    <phoneticPr fontId="0"/>
  </si>
  <si>
    <t>&gt;50%</t>
  </si>
  <si>
    <t>250C</t>
    <phoneticPr fontId="0"/>
  </si>
  <si>
    <t>&lt;=10</t>
  </si>
  <si>
    <t>No</t>
    <phoneticPr fontId="0"/>
  </si>
  <si>
    <t>1m/min</t>
    <phoneticPr fontId="0"/>
  </si>
  <si>
    <t>&lt;=2000ppm</t>
    <phoneticPr fontId="0"/>
  </si>
  <si>
    <t>NC06M-102 / ETC</t>
    <phoneticPr fontId="0"/>
  </si>
  <si>
    <t>0.5 to 1 mm</t>
  </si>
  <si>
    <r>
      <t>220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 : 60~70s
230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 : 40~60s</t>
    </r>
  </si>
  <si>
    <r>
      <t>150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C~190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 : 60~90s</t>
    </r>
  </si>
  <si>
    <t>Pallet use</t>
  </si>
  <si>
    <t>no</t>
  </si>
  <si>
    <t>PCB</t>
  </si>
  <si>
    <t>Board thickness</t>
  </si>
  <si>
    <t>0.8mm</t>
  </si>
  <si>
    <t>Willing to do MV with intel profile</t>
  </si>
  <si>
    <t>Panel/board</t>
  </si>
  <si>
    <t>RT copl/HT warp aligned with Apple/Qualcomm. 0.18~.21mm aperture for such pitch BGA. Experiences up to ~1300 pins and .35mm pitch</t>
  </si>
  <si>
    <t>SMT yield: 99.8%. RT copl/HT warp: JEDEC. Finalize to 2 and 4 up</t>
  </si>
  <si>
    <t>M705-GRN260-K2-VT by Senju</t>
  </si>
  <si>
    <t>Flux Dwell Time</t>
  </si>
  <si>
    <t>900ms</t>
  </si>
  <si>
    <t xml:space="preserve">SMT yield: 99.9%. RT copl &lt;=100um. HT warp &lt;=80um. Underfill: WE-3008 S1 by Wonchemical.Co.,Ltd </t>
  </si>
  <si>
    <t>0.08 - 1mm</t>
  </si>
  <si>
    <t xml:space="preserve">Paste normal volume </t>
  </si>
  <si>
    <t>0.0054 mmcu</t>
  </si>
  <si>
    <t>0.002 mmcu</t>
  </si>
  <si>
    <t>-40%/100%</t>
  </si>
  <si>
    <t>-50%/100%</t>
  </si>
  <si>
    <t>Folow MAS</t>
  </si>
  <si>
    <t>Indium 89LV</t>
  </si>
  <si>
    <t>Henkel Multicore97SCLF721DAP88.5V (SOC304, type4)</t>
  </si>
  <si>
    <t>2 s</t>
  </si>
  <si>
    <r>
      <t>220</t>
    </r>
    <r>
      <rPr>
        <vertAlign val="superscript"/>
        <sz val="8"/>
        <rFont val="Arial"/>
        <family val="2"/>
      </rPr>
      <t>o</t>
    </r>
    <r>
      <rPr>
        <sz val="8"/>
        <rFont val="Arial"/>
        <family val="2"/>
      </rPr>
      <t>C: 61, 61.5, 61.5, 63.5. 230oC: 43.5, 43, 43.5 46.5</t>
    </r>
  </si>
  <si>
    <t>80.5, 80, 80.5, 78</t>
  </si>
  <si>
    <t>TR7007 SII</t>
  </si>
  <si>
    <t>0.08mm</t>
    <phoneticPr fontId="6" type="noConversion"/>
  </si>
  <si>
    <t>Shenmao PF606</t>
    <phoneticPr fontId="6" type="noConversion"/>
  </si>
  <si>
    <t>Laser cut</t>
    <phoneticPr fontId="6" type="noConversion"/>
  </si>
  <si>
    <t>Sunshine</t>
    <phoneticPr fontId="6" type="noConversion"/>
  </si>
  <si>
    <t>DEK</t>
    <phoneticPr fontId="6" type="noConversion"/>
  </si>
  <si>
    <t>50%-220%</t>
    <phoneticPr fontId="6" type="noConversion"/>
  </si>
  <si>
    <t>KON YOUNG KY8030-2NB</t>
    <phoneticPr fontId="6" type="noConversion"/>
  </si>
  <si>
    <t>Fuji NXT</t>
    <phoneticPr fontId="6" type="noConversion"/>
  </si>
  <si>
    <t>0.7mm</t>
    <phoneticPr fontId="6" type="noConversion"/>
  </si>
  <si>
    <t>Fuji</t>
    <phoneticPr fontId="6" type="noConversion"/>
  </si>
  <si>
    <t>0.125~0.15mm</t>
  </si>
  <si>
    <t>no calmps</t>
  </si>
  <si>
    <t>general</t>
  </si>
  <si>
    <t>manual</t>
  </si>
  <si>
    <t>0.95m/min</t>
    <phoneticPr fontId="6" type="noConversion"/>
  </si>
  <si>
    <t xml:space="preserve">3000PPM </t>
  </si>
  <si>
    <t>Tamura 10+2 zone</t>
    <phoneticPr fontId="6" type="noConversion"/>
  </si>
  <si>
    <t>Add new paste every 2hrs. Change all Flux on dip tray every shift (12hrs). N2 machine setting only, accual data can't read because O2 analizer broken</t>
  </si>
  <si>
    <t>1/4</t>
  </si>
  <si>
    <t>1/2</t>
  </si>
  <si>
    <t>1/2, 4, 6,</t>
  </si>
  <si>
    <t>0.2 s</t>
  </si>
  <si>
    <t>Alpha 707</t>
  </si>
  <si>
    <t xml:space="preserve">Senju DELTALUX NSV301HF(BK) </t>
  </si>
  <si>
    <t>243C</t>
  </si>
  <si>
    <t>241C</t>
  </si>
  <si>
    <t>Pegatron for MSFT</t>
  </si>
  <si>
    <t>Indium 8.9 HFA Type 4.5 Metal load 87.75%</t>
  </si>
  <si>
    <t>1.0mm</t>
  </si>
  <si>
    <t xml:space="preserve">Indium 8.9HF-LV </t>
  </si>
  <si>
    <t xml:space="preserve">170µm on a 250µm ball height - i.e. 68% </t>
  </si>
  <si>
    <t>air</t>
  </si>
  <si>
    <t>Lasercut with Nano coating</t>
  </si>
  <si>
    <t xml:space="preserve">Aps 9.5 mil square rotated 45° with 1.5 mil corner radii </t>
  </si>
  <si>
    <t>Sony</t>
  </si>
  <si>
    <t>Sony Informaiton collected through CHT PoP engagement. SMT yield: 99.95%. RT copl/HT warp: JEDEC.</t>
  </si>
  <si>
    <t>SnAgCu , Ag 0.3% or 3.0%</t>
    <phoneticPr fontId="7" type="noConversion"/>
  </si>
  <si>
    <t>Component Recommand or LGE Spec</t>
    <phoneticPr fontId="7" type="noConversion"/>
  </si>
  <si>
    <t>10~80mm/sec</t>
    <phoneticPr fontId="7" type="noConversion"/>
  </si>
  <si>
    <r>
      <t>20~50×10</t>
    </r>
    <r>
      <rPr>
        <sz val="6"/>
        <rFont val="Calibri"/>
        <family val="3"/>
        <charset val="129"/>
        <scheme val="minor"/>
      </rPr>
      <t>-2</t>
    </r>
    <r>
      <rPr>
        <sz val="10"/>
        <rFont val="Calibri"/>
        <family val="2"/>
        <scheme val="minor"/>
      </rPr>
      <t xml:space="preserve"> N</t>
    </r>
  </si>
  <si>
    <t>Panasonic, SIEMENS, JUKI, PHILIPS etc</t>
    <phoneticPr fontId="7" type="noConversion"/>
  </si>
  <si>
    <t>3D SPI Volume 40 ~ 170%</t>
    <phoneticPr fontId="7" type="noConversion"/>
  </si>
  <si>
    <t>KOH YOUNG</t>
    <phoneticPr fontId="7" type="noConversion"/>
  </si>
  <si>
    <t>POP(Package On Package) SMT</t>
    <phoneticPr fontId="7" type="noConversion"/>
  </si>
  <si>
    <t>Min 6mm (Rubber Type)</t>
    <phoneticPr fontId="7" type="noConversion"/>
  </si>
  <si>
    <t>No Pre-SMT</t>
    <phoneticPr fontId="7" type="noConversion"/>
  </si>
  <si>
    <t>Panasonic, SIEMENS, JUKI, PHILPIS etc</t>
    <phoneticPr fontId="7" type="noConversion"/>
  </si>
  <si>
    <t>100 ~ 300ms</t>
    <phoneticPr fontId="7" type="noConversion"/>
  </si>
  <si>
    <t xml:space="preserve">        1. Peak Temp 245℃
        2. abobe 230℃ 45 ~ 60sec
        3. 150 ~ 200℃ 60 ~ 100sec</t>
    <phoneticPr fontId="7" type="noConversion"/>
  </si>
  <si>
    <t>No Clamping</t>
    <phoneticPr fontId="7" type="noConversion"/>
  </si>
  <si>
    <t>HELLER / VITRONICS / TAMURA</t>
    <phoneticPr fontId="7" type="noConversion"/>
  </si>
  <si>
    <t>50~60% of Ball Height</t>
  </si>
  <si>
    <t>Panel (2~3 Array)</t>
    <phoneticPr fontId="7" type="noConversion"/>
  </si>
  <si>
    <t>Copl and Warp: &lt; 80㎛</t>
  </si>
  <si>
    <t>Yes (?)</t>
  </si>
  <si>
    <t>0.08 - 0.1mm</t>
  </si>
  <si>
    <t>1. 0.24 (O)/0.21 (I) mm. 2. 0.24 (O)/0.23 (I) mm</t>
  </si>
  <si>
    <t>0.5 mm/s</t>
  </si>
  <si>
    <t>KWE</t>
  </si>
  <si>
    <t>DEK 710/EKRA</t>
  </si>
  <si>
    <t>50 ~ 140%</t>
  </si>
  <si>
    <t>Fuji NXT</t>
  </si>
  <si>
    <t xml:space="preserve">0.7mm </t>
  </si>
  <si>
    <t>Fuji NTX</t>
  </si>
  <si>
    <t>0.12(70%) ~ 0.15</t>
  </si>
  <si>
    <t>Add new paste every 2 hrs. Change all flux  on dip tray every shift. Rework: DIC RD-500SIII. X-ray: Phoenix 2D. TRI TR7600. Board Router: SRP R10</t>
  </si>
  <si>
    <t>2000 PPM machine setting.</t>
  </si>
  <si>
    <t>Tamura 10+4 zone</t>
  </si>
  <si>
    <t>0.85m/min</t>
  </si>
  <si>
    <t>Autom</t>
  </si>
  <si>
    <t>No clamping</t>
  </si>
  <si>
    <t xml:space="preserve">0.8mm </t>
  </si>
  <si>
    <t>see attached file</t>
  </si>
  <si>
    <t>0.65, 10 layer, 50um/50um(line/space) (t means total)</t>
  </si>
  <si>
    <t xml:space="preserve">0.65 ~ 1.0 mm </t>
  </si>
  <si>
    <t>0.08 mm</t>
  </si>
  <si>
    <t xml:space="preserve">Pallet </t>
  </si>
  <si>
    <t>Board Support</t>
  </si>
  <si>
    <t>yes. Block.</t>
  </si>
  <si>
    <t>Vacumm support</t>
  </si>
  <si>
    <t>yes. Block</t>
  </si>
  <si>
    <t>.3s</t>
  </si>
  <si>
    <t xml:space="preserve">MSFT targets 100% SMT yield. Just agreed: funcational build coming up in early sept is set @ 90-95%... for production it is 99.7% and to 99.9% (need work with Intel if SMT issue). </t>
  </si>
  <si>
    <t>CTE</t>
  </si>
  <si>
    <t>No inline machine</t>
  </si>
  <si>
    <t>Tong Fang GMF2-M305-D-885  
Nihon Handa PF305-1180TO 
Multicore Henkel 97SCLF328F
Alpha-OM 340 
GENMA PW231-ST155-GQ</t>
  </si>
  <si>
    <t>Not known</t>
  </si>
  <si>
    <t>No PoP capability</t>
  </si>
  <si>
    <t>Air</t>
  </si>
  <si>
    <t>Y-Series</t>
  </si>
  <si>
    <t>Lenovo</t>
  </si>
  <si>
    <t>MSFT</t>
  </si>
  <si>
    <t>ACER</t>
  </si>
  <si>
    <t>Total market share</t>
  </si>
  <si>
    <t>Comments</t>
  </si>
  <si>
    <t>risk if not met</t>
  </si>
  <si>
    <t>Compal</t>
  </si>
  <si>
    <t>Wistron Quanta</t>
  </si>
  <si>
    <t>Pegatron Quanta</t>
  </si>
  <si>
    <t>LCFC Wistron</t>
  </si>
  <si>
    <t>Quanta</t>
  </si>
  <si>
    <t>JDM1            (Pegatron)</t>
  </si>
  <si>
    <t>Wistron Quanta Inventec</t>
  </si>
  <si>
    <t>Quanta Pegatron Wistron</t>
  </si>
  <si>
    <t>Requirement in BDW MAS</t>
  </si>
  <si>
    <t>SKL Requirement</t>
  </si>
  <si>
    <t>Market Segment Share (Overall)</t>
  </si>
  <si>
    <t>Captured ~80% of the mobile market</t>
  </si>
  <si>
    <t>Paste</t>
  </si>
  <si>
    <t>Paste model</t>
  </si>
  <si>
    <t>Yunnan Tin YW9-3005-98CY04 / Shenmao 606P</t>
  </si>
  <si>
    <t>Shenmao PF606P</t>
  </si>
  <si>
    <t>Alpha OM338-L1P / Senju M705-S101HF(NL3)-S4</t>
  </si>
  <si>
    <t>Senju 370G-PX</t>
  </si>
  <si>
    <t>Alpha OM-363</t>
  </si>
  <si>
    <t>Shenmao PF606P / Alpha OM363H</t>
  </si>
  <si>
    <t>Shenmao 606P / Senju M705-S101ZH-S4</t>
  </si>
  <si>
    <t>MAS = Alpha OM363*, Alpha OM363H*,  Senju M705-GRN360-K2-VZH*, Senju M705-S101HF(N4)-S4*, Shenmao PF606-P*, Shenmao PF606-P26*</t>
  </si>
  <si>
    <r>
      <t>MAS = Alpha OM363*, Alpha OM363H*,  Senju M705-GRN360-K2-VZH*, Senju M705-S101HF(N4)-S4*, Shenmao PF606-P*, Shenmao PF606-P26* +</t>
    </r>
    <r>
      <rPr>
        <b/>
        <sz val="9"/>
        <color theme="1"/>
        <rFont val="Calibri"/>
        <family val="2"/>
        <scheme val="minor"/>
      </rPr>
      <t xml:space="preserve"> Yunan tin(as an option)</t>
    </r>
  </si>
  <si>
    <t>Of the 80% covered… 57% of the 80% MSS use or can use Yunnan Tin.  HP ODMs also seeking approval to use Yunnan Tin solder paste.</t>
  </si>
  <si>
    <t>stencil cut</t>
  </si>
  <si>
    <t>stencil coat</t>
  </si>
  <si>
    <t>print speed</t>
  </si>
  <si>
    <t>80-100mm/s</t>
  </si>
  <si>
    <t>70-100mm/s</t>
  </si>
  <si>
    <t>90-100mm/s</t>
  </si>
  <si>
    <t>90-110mm/s</t>
  </si>
  <si>
    <t>100mm/s</t>
  </si>
  <si>
    <t>Not Spec'd</t>
  </si>
  <si>
    <t>80 mm/s minimum</t>
  </si>
  <si>
    <t>wash rate</t>
  </si>
  <si>
    <t>Support type (pins, pallets, block, N/A, vacuum fixture etc)</t>
  </si>
  <si>
    <t>Print</t>
  </si>
  <si>
    <t>stencil thickness</t>
  </si>
  <si>
    <t>4 mil</t>
  </si>
  <si>
    <t>3 mil</t>
  </si>
  <si>
    <t>4mil</t>
  </si>
  <si>
    <t>5 mil</t>
  </si>
  <si>
    <t>4 and 5 mil</t>
  </si>
  <si>
    <t xml:space="preserve">3 and 4 mil </t>
  </si>
  <si>
    <t>3mil stencil used on BYT T.  Apple used 5mil thick stencil on BDW-Y; not sure what will be used on SKL Y.</t>
  </si>
  <si>
    <t>SPI volume contorl limits</t>
  </si>
  <si>
    <t>70% +/-</t>
  </si>
  <si>
    <t>50% +/-</t>
  </si>
  <si>
    <t>40%+/-</t>
  </si>
  <si>
    <t>50%+/-</t>
  </si>
  <si>
    <t>+/- 50%</t>
  </si>
  <si>
    <t xml:space="preserve">Compal only does minimal sampling of SPI during HVM and uses +/-70%.  </t>
  </si>
  <si>
    <t>Volume control process during HVM</t>
  </si>
  <si>
    <t>SPI on sample only during dev.  No HVM SPI, not even sampling</t>
  </si>
  <si>
    <t>100% during dev.  Sampling during HVM</t>
  </si>
  <si>
    <t xml:space="preserve">Open question:  what is our requirement or guidance on SPI in-line?  </t>
  </si>
  <si>
    <t>Reflow</t>
  </si>
  <si>
    <t>peak temperature</t>
  </si>
  <si>
    <t>230-250C</t>
  </si>
  <si>
    <t>240-245C</t>
  </si>
  <si>
    <t>235-245C</t>
  </si>
  <si>
    <t>235-240C</t>
  </si>
  <si>
    <t>230-250°C (unless data exists internally to show that 230 causes issues)</t>
  </si>
  <si>
    <t>Majority of ODMs use 230-250 when left to their own decision.</t>
  </si>
  <si>
    <t>TAL</t>
  </si>
  <si>
    <t>60-70s</t>
  </si>
  <si>
    <t>50-60s</t>
  </si>
  <si>
    <t>75-80s</t>
  </si>
  <si>
    <t>65-70s</t>
  </si>
  <si>
    <t>30s</t>
  </si>
  <si>
    <t>60-80S</t>
  </si>
  <si>
    <t>40-90s</t>
  </si>
  <si>
    <t>Follow recommendations from paste suppliers</t>
  </si>
  <si>
    <t>Air/N2</t>
  </si>
  <si>
    <t>N2</t>
  </si>
  <si>
    <t>pallet</t>
  </si>
  <si>
    <t>Yes</t>
  </si>
  <si>
    <t>pallet material</t>
  </si>
  <si>
    <t>universal or custom</t>
  </si>
  <si>
    <t>are 2 or more tooling pins used to align the board</t>
  </si>
  <si>
    <t>is there adequate clearance (1mm) around the panel?</t>
  </si>
  <si>
    <t>are they using any type of board-clamps (flip-tab, top plate, kapton tape, etc.)</t>
  </si>
  <si>
    <t>clamp</t>
  </si>
  <si>
    <t>No</t>
  </si>
  <si>
    <t>Fixturing</t>
  </si>
  <si>
    <t>Majority of ODMs have automated the transition from chip shooter to reflow.  Cannot clamp boards in to Pallet unless dictated by the OEM or necessitated due to high yield loss.</t>
  </si>
  <si>
    <t>Board Warpage</t>
  </si>
  <si>
    <t>HT -110 to -170</t>
  </si>
  <si>
    <t>TBD</t>
  </si>
  <si>
    <t>belt speed</t>
  </si>
  <si>
    <t>100-110cm/s</t>
  </si>
  <si>
    <t>100cm/s</t>
  </si>
  <si>
    <t>110cm/s</t>
  </si>
  <si>
    <t>90cm/s</t>
  </si>
  <si>
    <t>80-100cm/s</t>
  </si>
  <si>
    <t>PCB thickness</t>
  </si>
  <si>
    <t>0.8-1.0</t>
  </si>
  <si>
    <t>0.8-1.2mm</t>
  </si>
  <si>
    <t>Tablet and Ultrabook.  Industry feedback is thinner than 0.8mm leads to excessive board warpage during reflow.</t>
  </si>
  <si>
    <t>PCB type</t>
  </si>
  <si>
    <t>Type 4</t>
  </si>
  <si>
    <t>surface finish(?)</t>
  </si>
  <si>
    <t>OSP</t>
  </si>
  <si>
    <t>OSP/ImAg</t>
  </si>
  <si>
    <t>ULT22 (0.65mm pitch packages segment)</t>
  </si>
  <si>
    <t>Requirement</t>
  </si>
  <si>
    <t>Customer Pain if outside of envelope</t>
  </si>
  <si>
    <t>Shenmao 606P</t>
  </si>
  <si>
    <r>
      <t>MAS = Alpha OM363*, Alpha OM363H*,  Senju M705-GRN360-K2-VZH*, Senju M705-S101HF(N4)-S4*, Shenmao PF606-P*, Shenmao PF606-P26* +</t>
    </r>
    <r>
      <rPr>
        <b/>
        <sz val="8"/>
        <color theme="1"/>
        <rFont val="Calibri"/>
        <family val="2"/>
        <scheme val="minor"/>
      </rPr>
      <t xml:space="preserve"> Yunan tin(as an option)</t>
    </r>
  </si>
  <si>
    <t>4/5 mil</t>
  </si>
  <si>
    <t xml:space="preserve">4 and 5 mil </t>
  </si>
  <si>
    <t>Volume control process</t>
  </si>
  <si>
    <t>O2 concentration</t>
  </si>
  <si>
    <t>100-110cm/min</t>
  </si>
  <si>
    <t>cm/min (not cm/s)</t>
  </si>
  <si>
    <t>Type 3</t>
  </si>
  <si>
    <t>ULT23/H44e</t>
  </si>
  <si>
    <t>BDW Requirement</t>
  </si>
  <si>
    <t>90mm/s</t>
  </si>
  <si>
    <t>50+/-</t>
  </si>
  <si>
    <t>0.8-1.0mm</t>
  </si>
  <si>
    <t>Rework</t>
  </si>
  <si>
    <t>Paste/Flux</t>
  </si>
  <si>
    <t>Paste or Flux?</t>
  </si>
  <si>
    <t>Paste/Flux model</t>
  </si>
  <si>
    <t>Cycle Tiime (Remove and replace)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</si>
</sst>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8"/>
      <color rgb="FFFFFFFF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vertAlign val="superscript"/>
      <sz val="8"/>
      <name val="Arial"/>
      <family val="2"/>
    </font>
    <font>
      <sz val="8"/>
      <color rgb="FFFF0000"/>
      <name val="Arial"/>
      <family val="2"/>
    </font>
    <font>
      <sz val="12"/>
      <color theme="1"/>
      <name val="Calibri"/>
      <family val="3"/>
      <charset val="134"/>
      <scheme val="minor"/>
    </font>
    <font>
      <b/>
      <sz val="8"/>
      <color theme="0"/>
      <name val="Arial"/>
      <family val="2"/>
    </font>
    <font>
      <sz val="6"/>
      <name val="Calibri"/>
      <family val="3"/>
      <charset val="129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>
      <left style="medium">
        <color indexed="64"/>
      </left>
      <right style="thin">
        <color indexed="64"/>
      </right>
      <top style="thin">
        <color indexed="64"/>
      </top>
      <bottom/>
      <diagonal style="thin">
        <color indexed="64"/>
      </diagonal>
    </border>
    <border diagonalUp="1">
      <left style="medium">
        <color indexed="64"/>
      </left>
      <right style="thin">
        <color indexed="64"/>
      </right>
      <top/>
      <bottom style="thin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thin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5" fillId="0" borderId="0">
      <alignment vertical="center"/>
    </xf>
    <xf numFmtId="0" fontId="1" fillId="0" borderId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10" fillId="0" borderId="0" xfId="0" applyFont="1"/>
    <xf numFmtId="0" fontId="9" fillId="4" borderId="16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left" vertical="center"/>
    </xf>
    <xf numFmtId="0" fontId="9" fillId="4" borderId="16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22" xfId="1" applyFont="1" applyFill="1" applyBorder="1" applyAlignment="1">
      <alignment horizontal="center" vertical="center" wrapText="1"/>
    </xf>
    <xf numFmtId="0" fontId="9" fillId="3" borderId="22" xfId="0" applyFont="1" applyFill="1" applyBorder="1" applyAlignment="1">
      <alignment horizontal="center" vertical="center" wrapText="1"/>
    </xf>
    <xf numFmtId="0" fontId="16" fillId="4" borderId="16" xfId="0" applyFont="1" applyFill="1" applyBorder="1" applyAlignment="1">
      <alignment horizontal="left" vertical="top"/>
    </xf>
    <xf numFmtId="0" fontId="9" fillId="4" borderId="22" xfId="0" applyFont="1" applyFill="1" applyBorder="1" applyAlignment="1">
      <alignment horizontal="center" vertical="center" wrapText="1"/>
    </xf>
    <xf numFmtId="0" fontId="5" fillId="2" borderId="22" xfId="1" applyFont="1" applyFill="1" applyBorder="1" applyAlignment="1">
      <alignment horizontal="center" vertical="center"/>
    </xf>
    <xf numFmtId="0" fontId="10" fillId="3" borderId="22" xfId="0" applyFont="1" applyFill="1" applyBorder="1" applyAlignment="1">
      <alignment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/>
    </xf>
    <xf numFmtId="0" fontId="10" fillId="0" borderId="22" xfId="0" applyFont="1" applyFill="1" applyBorder="1" applyAlignment="1">
      <alignment horizontal="center" vertical="center" wrapText="1"/>
    </xf>
    <xf numFmtId="0" fontId="10" fillId="0" borderId="22" xfId="1" applyFont="1" applyFill="1" applyBorder="1" applyAlignment="1">
      <alignment horizontal="center" vertical="center" wrapText="1"/>
    </xf>
    <xf numFmtId="0" fontId="10" fillId="0" borderId="22" xfId="0" quotePrefix="1" applyFont="1" applyFill="1" applyBorder="1" applyAlignment="1">
      <alignment horizontal="center" vertical="center" wrapText="1"/>
    </xf>
    <xf numFmtId="0" fontId="10" fillId="0" borderId="22" xfId="0" quotePrefix="1" applyFont="1" applyBorder="1" applyAlignment="1">
      <alignment horizontal="center" vertical="center" wrapText="1"/>
    </xf>
    <xf numFmtId="0" fontId="14" fillId="0" borderId="22" xfId="0" quotePrefix="1" applyFont="1" applyFill="1" applyBorder="1" applyAlignment="1">
      <alignment horizontal="center" vertical="center" wrapText="1"/>
    </xf>
    <xf numFmtId="49" fontId="10" fillId="0" borderId="22" xfId="1" applyNumberFormat="1" applyFont="1" applyFill="1" applyBorder="1" applyAlignment="1">
      <alignment horizontal="center" vertical="center" wrapText="1"/>
    </xf>
    <xf numFmtId="0" fontId="14" fillId="0" borderId="22" xfId="0" applyFont="1" applyBorder="1" applyAlignment="1">
      <alignment horizontal="center" vertical="center" wrapText="1"/>
    </xf>
    <xf numFmtId="0" fontId="12" fillId="0" borderId="22" xfId="0" applyFont="1" applyBorder="1" applyAlignment="1">
      <alignment horizontal="center" vertical="center" wrapText="1"/>
    </xf>
    <xf numFmtId="0" fontId="12" fillId="0" borderId="22" xfId="1" applyFont="1" applyFill="1" applyBorder="1" applyAlignment="1">
      <alignment horizontal="center" vertical="center" wrapText="1"/>
    </xf>
    <xf numFmtId="0" fontId="11" fillId="3" borderId="22" xfId="0" applyFont="1" applyFill="1" applyBorder="1" applyAlignment="1">
      <alignment horizontal="center" vertical="center"/>
    </xf>
    <xf numFmtId="16" fontId="10" fillId="0" borderId="22" xfId="0" quotePrefix="1" applyNumberFormat="1" applyFont="1" applyBorder="1" applyAlignment="1">
      <alignment horizontal="center"/>
    </xf>
    <xf numFmtId="0" fontId="10" fillId="0" borderId="22" xfId="0" applyFont="1" applyBorder="1" applyAlignment="1">
      <alignment horizontal="center" vertical="top" wrapText="1"/>
    </xf>
    <xf numFmtId="0" fontId="10" fillId="0" borderId="22" xfId="0" quotePrefix="1" applyFont="1" applyBorder="1" applyAlignment="1">
      <alignment horizontal="center" vertical="top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18" fillId="0" borderId="1" xfId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center" vertical="center" wrapText="1"/>
    </xf>
    <xf numFmtId="9" fontId="10" fillId="0" borderId="22" xfId="0" applyNumberFormat="1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 wrapText="1"/>
    </xf>
    <xf numFmtId="0" fontId="19" fillId="0" borderId="28" xfId="3" applyFont="1" applyBorder="1"/>
    <xf numFmtId="0" fontId="19" fillId="0" borderId="5" xfId="3" applyFont="1" applyBorder="1"/>
    <xf numFmtId="0" fontId="19" fillId="0" borderId="5" xfId="3" applyFont="1" applyBorder="1" applyAlignment="1">
      <alignment horizontal="center"/>
    </xf>
    <xf numFmtId="0" fontId="19" fillId="5" borderId="5" xfId="3" applyFont="1" applyFill="1" applyBorder="1"/>
    <xf numFmtId="0" fontId="19" fillId="0" borderId="6" xfId="3" applyFont="1" applyBorder="1"/>
    <xf numFmtId="0" fontId="1" fillId="0" borderId="0" xfId="3"/>
    <xf numFmtId="0" fontId="19" fillId="0" borderId="29" xfId="3" applyFont="1" applyBorder="1" applyAlignment="1">
      <alignment wrapText="1"/>
    </xf>
    <xf numFmtId="0" fontId="19" fillId="0" borderId="1" xfId="3" applyFont="1" applyBorder="1" applyAlignment="1">
      <alignment wrapText="1"/>
    </xf>
    <xf numFmtId="0" fontId="19" fillId="0" borderId="1" xfId="3" applyFont="1" applyBorder="1" applyAlignment="1">
      <alignment horizontal="center" wrapText="1"/>
    </xf>
    <xf numFmtId="0" fontId="3" fillId="5" borderId="1" xfId="3" applyFont="1" applyFill="1" applyBorder="1" applyAlignment="1">
      <alignment wrapText="1"/>
    </xf>
    <xf numFmtId="0" fontId="19" fillId="0" borderId="7" xfId="3" applyFont="1" applyBorder="1" applyAlignment="1">
      <alignment wrapText="1"/>
    </xf>
    <xf numFmtId="0" fontId="1" fillId="0" borderId="0" xfId="3" applyAlignment="1">
      <alignment wrapText="1"/>
    </xf>
    <xf numFmtId="9" fontId="19" fillId="0" borderId="1" xfId="3" applyNumberFormat="1" applyFont="1" applyBorder="1" applyAlignment="1">
      <alignment horizontal="center" wrapText="1"/>
    </xf>
    <xf numFmtId="9" fontId="19" fillId="0" borderId="1" xfId="3" applyNumberFormat="1" applyFont="1" applyBorder="1" applyAlignment="1">
      <alignment wrapText="1"/>
    </xf>
    <xf numFmtId="0" fontId="19" fillId="6" borderId="1" xfId="3" applyFont="1" applyFill="1" applyBorder="1" applyAlignment="1">
      <alignment horizontal="center" wrapText="1"/>
    </xf>
    <xf numFmtId="9" fontId="19" fillId="0" borderId="1" xfId="4" applyFont="1" applyBorder="1" applyAlignment="1">
      <alignment wrapText="1"/>
    </xf>
    <xf numFmtId="0" fontId="19" fillId="0" borderId="8" xfId="3" applyFont="1" applyBorder="1" applyAlignment="1">
      <alignment wrapText="1"/>
    </xf>
    <xf numFmtId="0" fontId="19" fillId="3" borderId="1" xfId="3" applyFont="1" applyFill="1" applyBorder="1" applyAlignment="1">
      <alignment wrapText="1"/>
    </xf>
    <xf numFmtId="0" fontId="4" fillId="5" borderId="1" xfId="3" applyFont="1" applyFill="1" applyBorder="1" applyAlignment="1">
      <alignment horizontal="center" wrapText="1"/>
    </xf>
    <xf numFmtId="0" fontId="1" fillId="0" borderId="1" xfId="3" applyBorder="1" applyAlignment="1">
      <alignment wrapText="1"/>
    </xf>
    <xf numFmtId="0" fontId="19" fillId="7" borderId="1" xfId="3" applyFont="1" applyFill="1" applyBorder="1" applyAlignment="1">
      <alignment horizontal="center" wrapText="1"/>
    </xf>
    <xf numFmtId="0" fontId="1" fillId="5" borderId="1" xfId="3" applyFont="1" applyFill="1" applyBorder="1" applyAlignment="1">
      <alignment horizontal="center" wrapText="1"/>
    </xf>
    <xf numFmtId="0" fontId="1" fillId="5" borderId="1" xfId="3" quotePrefix="1" applyFont="1" applyFill="1" applyBorder="1" applyAlignment="1">
      <alignment horizontal="center" wrapText="1"/>
    </xf>
    <xf numFmtId="0" fontId="19" fillId="0" borderId="1" xfId="3" applyFont="1" applyFill="1" applyBorder="1" applyAlignment="1">
      <alignment horizontal="center" wrapText="1"/>
    </xf>
    <xf numFmtId="0" fontId="19" fillId="0" borderId="1" xfId="3" applyFont="1" applyFill="1" applyBorder="1" applyAlignment="1">
      <alignment wrapText="1"/>
    </xf>
    <xf numFmtId="0" fontId="19" fillId="0" borderId="32" xfId="3" applyFont="1" applyFill="1" applyBorder="1" applyAlignment="1">
      <alignment wrapText="1"/>
    </xf>
    <xf numFmtId="0" fontId="19" fillId="0" borderId="32" xfId="3" applyFont="1" applyBorder="1" applyAlignment="1">
      <alignment horizontal="center" wrapText="1"/>
    </xf>
    <xf numFmtId="0" fontId="1" fillId="5" borderId="32" xfId="3" applyFont="1" applyFill="1" applyBorder="1" applyAlignment="1">
      <alignment horizontal="center" wrapText="1"/>
    </xf>
    <xf numFmtId="9" fontId="19" fillId="0" borderId="32" xfId="3" applyNumberFormat="1" applyFont="1" applyBorder="1" applyAlignment="1">
      <alignment wrapText="1"/>
    </xf>
    <xf numFmtId="0" fontId="19" fillId="0" borderId="4" xfId="3" applyFont="1" applyBorder="1" applyAlignment="1">
      <alignment wrapText="1"/>
    </xf>
    <xf numFmtId="0" fontId="19" fillId="0" borderId="0" xfId="3" applyFont="1" applyAlignment="1">
      <alignment wrapText="1"/>
    </xf>
    <xf numFmtId="0" fontId="19" fillId="5" borderId="0" xfId="3" applyFont="1" applyFill="1" applyAlignment="1">
      <alignment wrapText="1"/>
    </xf>
    <xf numFmtId="0" fontId="19" fillId="0" borderId="33" xfId="3" applyFont="1" applyBorder="1" applyAlignment="1">
      <alignment wrapText="1"/>
    </xf>
    <xf numFmtId="0" fontId="19" fillId="0" borderId="34" xfId="3" applyFont="1" applyBorder="1" applyAlignment="1">
      <alignment wrapText="1"/>
    </xf>
    <xf numFmtId="0" fontId="19" fillId="0" borderId="34" xfId="3" applyFont="1" applyBorder="1" applyAlignment="1">
      <alignment horizontal="center"/>
    </xf>
    <xf numFmtId="0" fontId="19" fillId="5" borderId="1" xfId="3" applyFont="1" applyFill="1" applyBorder="1" applyAlignment="1">
      <alignment wrapText="1"/>
    </xf>
    <xf numFmtId="0" fontId="1" fillId="0" borderId="35" xfId="3" applyBorder="1" applyAlignment="1">
      <alignment wrapText="1"/>
    </xf>
    <xf numFmtId="0" fontId="1" fillId="0" borderId="36" xfId="3" applyBorder="1" applyAlignment="1">
      <alignment wrapText="1"/>
    </xf>
    <xf numFmtId="0" fontId="19" fillId="8" borderId="1" xfId="3" applyFont="1" applyFill="1" applyBorder="1" applyAlignment="1">
      <alignment wrapText="1"/>
    </xf>
    <xf numFmtId="0" fontId="1" fillId="0" borderId="37" xfId="3" applyBorder="1" applyAlignment="1">
      <alignment wrapText="1"/>
    </xf>
    <xf numFmtId="0" fontId="4" fillId="8" borderId="1" xfId="3" applyFont="1" applyFill="1" applyBorder="1" applyAlignment="1">
      <alignment horizontal="center" wrapText="1"/>
    </xf>
    <xf numFmtId="0" fontId="4" fillId="8" borderId="1" xfId="3" quotePrefix="1" applyFont="1" applyFill="1" applyBorder="1" applyAlignment="1">
      <alignment horizontal="center" wrapText="1"/>
    </xf>
    <xf numFmtId="0" fontId="19" fillId="0" borderId="2" xfId="3" applyFont="1" applyFill="1" applyBorder="1" applyAlignment="1">
      <alignment wrapText="1"/>
    </xf>
    <xf numFmtId="0" fontId="19" fillId="0" borderId="2" xfId="3" applyFont="1" applyBorder="1" applyAlignment="1">
      <alignment horizontal="center" wrapText="1"/>
    </xf>
    <xf numFmtId="0" fontId="4" fillId="5" borderId="32" xfId="3" applyFont="1" applyFill="1" applyBorder="1" applyAlignment="1">
      <alignment horizontal="center" wrapText="1"/>
    </xf>
    <xf numFmtId="0" fontId="19" fillId="0" borderId="38" xfId="3" applyFont="1" applyBorder="1" applyAlignment="1">
      <alignment wrapText="1"/>
    </xf>
    <xf numFmtId="0" fontId="19" fillId="0" borderId="39" xfId="3" applyFont="1" applyBorder="1" applyAlignment="1">
      <alignment wrapText="1"/>
    </xf>
    <xf numFmtId="0" fontId="19" fillId="0" borderId="40" xfId="3" applyFont="1" applyBorder="1" applyAlignment="1">
      <alignment horizontal="center"/>
    </xf>
    <xf numFmtId="0" fontId="19" fillId="0" borderId="39" xfId="3" applyFont="1" applyBorder="1" applyAlignment="1">
      <alignment horizontal="center"/>
    </xf>
    <xf numFmtId="0" fontId="19" fillId="5" borderId="39" xfId="3" applyFont="1" applyFill="1" applyBorder="1" applyAlignment="1">
      <alignment wrapText="1"/>
    </xf>
    <xf numFmtId="0" fontId="1" fillId="0" borderId="41" xfId="3" applyBorder="1" applyAlignment="1">
      <alignment wrapText="1"/>
    </xf>
    <xf numFmtId="0" fontId="19" fillId="0" borderId="27" xfId="3" applyFont="1" applyBorder="1" applyAlignment="1">
      <alignment wrapText="1"/>
    </xf>
    <xf numFmtId="0" fontId="19" fillId="0" borderId="42" xfId="3" applyFont="1" applyBorder="1" applyAlignment="1">
      <alignment wrapText="1"/>
    </xf>
    <xf numFmtId="0" fontId="19" fillId="0" borderId="3" xfId="3" applyFont="1" applyBorder="1" applyAlignment="1">
      <alignment horizontal="center" wrapText="1"/>
    </xf>
    <xf numFmtId="0" fontId="19" fillId="0" borderId="42" xfId="3" applyFont="1" applyBorder="1" applyAlignment="1">
      <alignment horizontal="center" wrapText="1"/>
    </xf>
    <xf numFmtId="0" fontId="19" fillId="0" borderId="43" xfId="3" applyFont="1" applyBorder="1" applyAlignment="1">
      <alignment horizontal="center" wrapText="1"/>
    </xf>
    <xf numFmtId="0" fontId="19" fillId="5" borderId="42" xfId="3" applyFont="1" applyFill="1" applyBorder="1" applyAlignment="1">
      <alignment horizontal="center" wrapText="1"/>
    </xf>
    <xf numFmtId="0" fontId="1" fillId="0" borderId="44" xfId="3" applyBorder="1" applyAlignment="1">
      <alignment wrapText="1"/>
    </xf>
    <xf numFmtId="0" fontId="19" fillId="0" borderId="28" xfId="3" applyFont="1" applyBorder="1" applyAlignment="1">
      <alignment wrapText="1"/>
    </xf>
    <xf numFmtId="0" fontId="19" fillId="0" borderId="5" xfId="3" applyFont="1" applyBorder="1" applyAlignment="1">
      <alignment wrapText="1"/>
    </xf>
    <xf numFmtId="0" fontId="19" fillId="0" borderId="5" xfId="3" applyFont="1" applyBorder="1" applyAlignment="1">
      <alignment horizontal="center" wrapText="1"/>
    </xf>
    <xf numFmtId="0" fontId="19" fillId="5" borderId="5" xfId="3" applyFont="1" applyFill="1" applyBorder="1" applyAlignment="1">
      <alignment wrapText="1"/>
    </xf>
    <xf numFmtId="0" fontId="1" fillId="0" borderId="6" xfId="3" applyBorder="1" applyAlignment="1">
      <alignment wrapText="1"/>
    </xf>
    <xf numFmtId="0" fontId="19" fillId="5" borderId="1" xfId="3" applyFont="1" applyFill="1" applyBorder="1" applyAlignment="1">
      <alignment horizontal="center" wrapText="1"/>
    </xf>
    <xf numFmtId="0" fontId="1" fillId="0" borderId="7" xfId="3" applyBorder="1" applyAlignment="1">
      <alignment wrapText="1"/>
    </xf>
    <xf numFmtId="0" fontId="19" fillId="5" borderId="1" xfId="3" quotePrefix="1" applyFont="1" applyFill="1" applyBorder="1" applyAlignment="1">
      <alignment horizontal="center" wrapText="1"/>
    </xf>
    <xf numFmtId="0" fontId="19" fillId="0" borderId="7" xfId="3" applyFont="1" applyBorder="1" applyAlignment="1">
      <alignment horizontal="center" wrapText="1"/>
    </xf>
    <xf numFmtId="0" fontId="19" fillId="5" borderId="32" xfId="3" applyFont="1" applyFill="1" applyBorder="1" applyAlignment="1">
      <alignment horizontal="center" wrapText="1"/>
    </xf>
    <xf numFmtId="0" fontId="1" fillId="0" borderId="4" xfId="3" applyBorder="1" applyAlignment="1">
      <alignment wrapText="1"/>
    </xf>
    <xf numFmtId="0" fontId="19" fillId="0" borderId="0" xfId="3" applyFont="1"/>
    <xf numFmtId="0" fontId="19" fillId="5" borderId="0" xfId="3" applyFont="1" applyFill="1"/>
    <xf numFmtId="0" fontId="19" fillId="0" borderId="45" xfId="3" applyFont="1" applyBorder="1" applyAlignment="1">
      <alignment wrapText="1"/>
    </xf>
    <xf numFmtId="0" fontId="19" fillId="0" borderId="46" xfId="3" applyFont="1" applyBorder="1" applyAlignment="1">
      <alignment wrapText="1"/>
    </xf>
    <xf numFmtId="0" fontId="19" fillId="0" borderId="46" xfId="3" applyFont="1" applyBorder="1" applyAlignment="1">
      <alignment horizontal="center"/>
    </xf>
    <xf numFmtId="0" fontId="19" fillId="5" borderId="46" xfId="3" applyFont="1" applyFill="1" applyBorder="1" applyAlignment="1">
      <alignment wrapText="1"/>
    </xf>
    <xf numFmtId="0" fontId="1" fillId="0" borderId="47" xfId="3" applyBorder="1" applyAlignment="1">
      <alignment wrapText="1"/>
    </xf>
    <xf numFmtId="0" fontId="19" fillId="0" borderId="32" xfId="3" applyFont="1" applyBorder="1" applyAlignment="1">
      <alignment wrapText="1"/>
    </xf>
    <xf numFmtId="0" fontId="19" fillId="5" borderId="32" xfId="3" applyFont="1" applyFill="1" applyBorder="1" applyAlignment="1">
      <alignment wrapText="1"/>
    </xf>
    <xf numFmtId="0" fontId="1" fillId="5" borderId="0" xfId="3" applyFill="1"/>
    <xf numFmtId="0" fontId="19" fillId="0" borderId="34" xfId="3" applyFont="1" applyBorder="1" applyAlignment="1">
      <alignment horizontal="center"/>
    </xf>
    <xf numFmtId="0" fontId="19" fillId="0" borderId="5" xfId="3" applyFont="1" applyBorder="1" applyAlignment="1">
      <alignment horizontal="center"/>
    </xf>
    <xf numFmtId="9" fontId="19" fillId="0" borderId="1" xfId="3" applyNumberFormat="1" applyFont="1" applyBorder="1" applyAlignment="1">
      <alignment horizontal="center" wrapText="1"/>
    </xf>
    <xf numFmtId="0" fontId="19" fillId="0" borderId="1" xfId="3" applyFont="1" applyBorder="1" applyAlignment="1">
      <alignment horizontal="center" wrapText="1"/>
    </xf>
    <xf numFmtId="0" fontId="19" fillId="0" borderId="29" xfId="3" applyFont="1" applyBorder="1" applyAlignment="1">
      <alignment horizontal="center" wrapText="1"/>
    </xf>
    <xf numFmtId="0" fontId="19" fillId="0" borderId="31" xfId="3" applyFont="1" applyBorder="1" applyAlignment="1">
      <alignment horizontal="center" wrapText="1"/>
    </xf>
    <xf numFmtId="0" fontId="19" fillId="0" borderId="8" xfId="3" applyFont="1" applyBorder="1" applyAlignment="1">
      <alignment horizontal="center" wrapText="1"/>
    </xf>
    <xf numFmtId="0" fontId="19" fillId="0" borderId="9" xfId="3" applyFont="1" applyBorder="1" applyAlignment="1">
      <alignment horizontal="center" wrapText="1"/>
    </xf>
    <xf numFmtId="0" fontId="19" fillId="0" borderId="30" xfId="3" applyFont="1" applyBorder="1" applyAlignment="1">
      <alignment horizontal="center" wrapText="1"/>
    </xf>
    <xf numFmtId="0" fontId="19" fillId="0" borderId="2" xfId="3" applyFont="1" applyBorder="1" applyAlignment="1">
      <alignment horizontal="center" wrapText="1"/>
    </xf>
    <xf numFmtId="0" fontId="19" fillId="0" borderId="46" xfId="3" applyFont="1" applyBorder="1" applyAlignment="1">
      <alignment horizontal="center"/>
    </xf>
    <xf numFmtId="0" fontId="9" fillId="4" borderId="12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10" fillId="0" borderId="12" xfId="0" applyFont="1" applyBorder="1" applyAlignment="1"/>
    <xf numFmtId="0" fontId="0" fillId="0" borderId="12" xfId="0" applyBorder="1" applyAlignment="1"/>
    <xf numFmtId="0" fontId="10" fillId="0" borderId="21" xfId="0" applyFont="1" applyBorder="1" applyAlignment="1"/>
    <xf numFmtId="0" fontId="0" fillId="0" borderId="0" xfId="0" applyAlignment="1"/>
    <xf numFmtId="49" fontId="7" fillId="0" borderId="23" xfId="1" applyNumberFormat="1" applyFont="1" applyFill="1" applyBorder="1" applyAlignment="1">
      <alignment horizontal="center" vertical="center" wrapText="1"/>
    </xf>
    <xf numFmtId="49" fontId="7" fillId="0" borderId="26" xfId="1" applyNumberFormat="1" applyFont="1" applyFill="1" applyBorder="1" applyAlignment="1">
      <alignment horizontal="center" vertical="center" wrapText="1"/>
    </xf>
    <xf numFmtId="0" fontId="7" fillId="0" borderId="25" xfId="1" applyFont="1" applyFill="1" applyBorder="1" applyAlignment="1">
      <alignment horizontal="left" vertical="center" wrapText="1"/>
    </xf>
    <xf numFmtId="0" fontId="7" fillId="0" borderId="9" xfId="1" applyFont="1" applyFill="1" applyBorder="1" applyAlignment="1">
      <alignment horizontal="left" vertical="center" wrapText="1"/>
    </xf>
    <xf numFmtId="0" fontId="7" fillId="0" borderId="27" xfId="1" applyFont="1" applyFill="1" applyBorder="1" applyAlignment="1">
      <alignment horizontal="left" vertical="center" wrapText="1"/>
    </xf>
    <xf numFmtId="0" fontId="7" fillId="0" borderId="23" xfId="1" applyFont="1" applyFill="1" applyBorder="1" applyAlignment="1">
      <alignment horizontal="center" vertical="center" wrapText="1"/>
    </xf>
    <xf numFmtId="0" fontId="7" fillId="0" borderId="24" xfId="1" applyFont="1" applyFill="1" applyBorder="1" applyAlignment="1">
      <alignment horizontal="center" vertical="center" wrapText="1"/>
    </xf>
    <xf numFmtId="0" fontId="9" fillId="4" borderId="21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22" xfId="0" applyFont="1" applyFill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</cellXfs>
  <cellStyles count="5">
    <cellStyle name="Normal" xfId="0" builtinId="0"/>
    <cellStyle name="Normal 2" xfId="3"/>
    <cellStyle name="Percent 2" xfId="4"/>
    <cellStyle name="常规 4" xfId="2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8"/>
  <sheetViews>
    <sheetView tabSelected="1" topLeftCell="A14" zoomScale="130" zoomScaleNormal="130" workbookViewId="0">
      <selection activeCell="B24" sqref="B24"/>
    </sheetView>
  </sheetViews>
  <sheetFormatPr defaultColWidth="9.109375" defaultRowHeight="14.4"/>
  <cols>
    <col min="1" max="1" width="11.109375" style="38" customWidth="1"/>
    <col min="2" max="2" width="22.5546875" style="38" bestFit="1" customWidth="1"/>
    <col min="3" max="6" width="10.6640625" style="38" customWidth="1"/>
    <col min="7" max="7" width="11.44140625" style="38" customWidth="1"/>
    <col min="8" max="13" width="10.6640625" style="38" customWidth="1"/>
    <col min="14" max="14" width="22.88671875" style="38" customWidth="1"/>
    <col min="15" max="15" width="27.88671875" style="111" customWidth="1"/>
    <col min="16" max="16" width="18" style="38" customWidth="1"/>
    <col min="17" max="17" width="40.88671875" style="38" customWidth="1"/>
    <col min="18" max="18" width="35" style="38" customWidth="1"/>
    <col min="19" max="16384" width="9.109375" style="38"/>
  </cols>
  <sheetData>
    <row r="1" spans="1:18">
      <c r="A1" s="33" t="s">
        <v>227</v>
      </c>
      <c r="B1" s="34"/>
      <c r="C1" s="113" t="s">
        <v>6</v>
      </c>
      <c r="D1" s="113"/>
      <c r="E1" s="113" t="s">
        <v>5</v>
      </c>
      <c r="F1" s="113"/>
      <c r="G1" s="35" t="s">
        <v>228</v>
      </c>
      <c r="H1" s="35" t="s">
        <v>172</v>
      </c>
      <c r="I1" s="35" t="s">
        <v>229</v>
      </c>
      <c r="J1" s="35" t="s">
        <v>1</v>
      </c>
      <c r="K1" s="35" t="s">
        <v>7</v>
      </c>
      <c r="L1" s="113" t="s">
        <v>230</v>
      </c>
      <c r="M1" s="113"/>
      <c r="N1" s="34"/>
      <c r="O1" s="36"/>
      <c r="P1" s="34" t="s">
        <v>231</v>
      </c>
      <c r="Q1" s="37" t="s">
        <v>232</v>
      </c>
      <c r="R1" s="38" t="s">
        <v>233</v>
      </c>
    </row>
    <row r="2" spans="1:18" s="44" customFormat="1" ht="31.8">
      <c r="A2" s="39"/>
      <c r="B2" s="40"/>
      <c r="C2" s="41" t="s">
        <v>234</v>
      </c>
      <c r="D2" s="41" t="s">
        <v>235</v>
      </c>
      <c r="E2" s="41" t="s">
        <v>234</v>
      </c>
      <c r="F2" s="41" t="s">
        <v>236</v>
      </c>
      <c r="G2" s="41" t="s">
        <v>237</v>
      </c>
      <c r="H2" s="41" t="s">
        <v>238</v>
      </c>
      <c r="I2" s="41" t="s">
        <v>239</v>
      </c>
      <c r="J2" s="41" t="s">
        <v>238</v>
      </c>
      <c r="K2" s="41" t="s">
        <v>240</v>
      </c>
      <c r="L2" s="41" t="s">
        <v>241</v>
      </c>
      <c r="M2" s="41" t="s">
        <v>234</v>
      </c>
      <c r="N2" s="40" t="s">
        <v>242</v>
      </c>
      <c r="O2" s="42" t="s">
        <v>243</v>
      </c>
      <c r="P2" s="40"/>
      <c r="Q2" s="43"/>
    </row>
    <row r="3" spans="1:18" s="44" customFormat="1" ht="14.25" customHeight="1">
      <c r="A3" s="39"/>
      <c r="B3" s="40" t="s">
        <v>244</v>
      </c>
      <c r="C3" s="114">
        <v>0.14000000000000001</v>
      </c>
      <c r="D3" s="115"/>
      <c r="E3" s="114">
        <v>0.08</v>
      </c>
      <c r="F3" s="115"/>
      <c r="G3" s="45">
        <v>0.18</v>
      </c>
      <c r="H3" s="45">
        <v>0.05</v>
      </c>
      <c r="I3" s="45">
        <v>0.03</v>
      </c>
      <c r="J3" s="45">
        <v>0.08</v>
      </c>
      <c r="K3" s="45">
        <v>0.17</v>
      </c>
      <c r="L3" s="114">
        <v>0.12</v>
      </c>
      <c r="M3" s="115"/>
      <c r="N3" s="40"/>
      <c r="O3" s="42"/>
      <c r="P3" s="46">
        <f>SUM(C3:M3)</f>
        <v>0.85</v>
      </c>
      <c r="Q3" s="43" t="s">
        <v>245</v>
      </c>
    </row>
    <row r="4" spans="1:18" s="44" customFormat="1" ht="60.6">
      <c r="A4" s="39" t="s">
        <v>246</v>
      </c>
      <c r="B4" s="40" t="s">
        <v>247</v>
      </c>
      <c r="C4" s="47" t="s">
        <v>248</v>
      </c>
      <c r="D4" s="41" t="s">
        <v>249</v>
      </c>
      <c r="E4" s="47" t="s">
        <v>248</v>
      </c>
      <c r="F4" s="41" t="s">
        <v>249</v>
      </c>
      <c r="G4" s="41" t="s">
        <v>250</v>
      </c>
      <c r="H4" s="41" t="s">
        <v>251</v>
      </c>
      <c r="I4" s="41" t="s">
        <v>249</v>
      </c>
      <c r="J4" s="41" t="s">
        <v>252</v>
      </c>
      <c r="K4" s="41" t="s">
        <v>253</v>
      </c>
      <c r="L4" s="41" t="s">
        <v>254</v>
      </c>
      <c r="M4" s="47" t="s">
        <v>248</v>
      </c>
      <c r="N4" s="40" t="s">
        <v>255</v>
      </c>
      <c r="O4" s="42" t="s">
        <v>256</v>
      </c>
      <c r="P4" s="48">
        <f>4/7</f>
        <v>0.5714285714285714</v>
      </c>
      <c r="Q4" s="43" t="s">
        <v>257</v>
      </c>
    </row>
    <row r="5" spans="1:18" s="44" customFormat="1">
      <c r="A5" s="49"/>
      <c r="B5" s="50" t="s">
        <v>258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51"/>
      <c r="O5" s="52"/>
    </row>
    <row r="6" spans="1:18" s="44" customFormat="1">
      <c r="A6" s="49"/>
      <c r="B6" s="50" t="s">
        <v>259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51"/>
      <c r="O6" s="52"/>
    </row>
    <row r="7" spans="1:18" s="44" customFormat="1">
      <c r="A7" s="49"/>
      <c r="B7" s="40" t="s">
        <v>260</v>
      </c>
      <c r="C7" s="41" t="s">
        <v>261</v>
      </c>
      <c r="D7" s="53" t="s">
        <v>262</v>
      </c>
      <c r="E7" s="41" t="s">
        <v>261</v>
      </c>
      <c r="F7" s="41" t="s">
        <v>262</v>
      </c>
      <c r="G7" s="41" t="s">
        <v>263</v>
      </c>
      <c r="H7" s="41" t="s">
        <v>264</v>
      </c>
      <c r="I7" s="41" t="s">
        <v>265</v>
      </c>
      <c r="J7" s="41" t="s">
        <v>265</v>
      </c>
      <c r="K7" s="41" t="s">
        <v>265</v>
      </c>
      <c r="L7" s="41" t="s">
        <v>261</v>
      </c>
      <c r="M7" s="41" t="s">
        <v>266</v>
      </c>
      <c r="N7" s="51" t="s">
        <v>267</v>
      </c>
      <c r="O7" s="52"/>
    </row>
    <row r="8" spans="1:18" s="44" customFormat="1">
      <c r="A8" s="49"/>
      <c r="B8" s="50" t="s">
        <v>268</v>
      </c>
      <c r="C8" s="41"/>
      <c r="D8" s="53"/>
      <c r="E8" s="41"/>
      <c r="F8" s="41"/>
      <c r="G8" s="41"/>
      <c r="H8" s="41"/>
      <c r="I8" s="41"/>
      <c r="J8" s="41"/>
      <c r="K8" s="41"/>
      <c r="L8" s="41"/>
      <c r="M8" s="41"/>
      <c r="N8" s="51"/>
      <c r="O8" s="52"/>
    </row>
    <row r="9" spans="1:18" s="44" customFormat="1" ht="21.6">
      <c r="A9" s="49"/>
      <c r="B9" s="50" t="s">
        <v>269</v>
      </c>
      <c r="C9" s="41"/>
      <c r="D9" s="53"/>
      <c r="E9" s="41"/>
      <c r="F9" s="41"/>
      <c r="G9" s="41"/>
      <c r="H9" s="41"/>
      <c r="I9" s="41"/>
      <c r="J9" s="41"/>
      <c r="K9" s="41"/>
      <c r="L9" s="41"/>
      <c r="M9" s="41"/>
      <c r="N9" s="51"/>
      <c r="O9" s="52"/>
    </row>
    <row r="10" spans="1:18" s="44" customFormat="1" ht="21.6">
      <c r="A10" s="118" t="s">
        <v>270</v>
      </c>
      <c r="B10" s="40" t="s">
        <v>271</v>
      </c>
      <c r="C10" s="41" t="s">
        <v>272</v>
      </c>
      <c r="D10" s="41" t="s">
        <v>273</v>
      </c>
      <c r="E10" s="41" t="s">
        <v>272</v>
      </c>
      <c r="F10" s="41" t="s">
        <v>272</v>
      </c>
      <c r="G10" s="41" t="s">
        <v>273</v>
      </c>
      <c r="H10" s="41" t="s">
        <v>272</v>
      </c>
      <c r="I10" s="41" t="s">
        <v>274</v>
      </c>
      <c r="J10" s="47" t="s">
        <v>275</v>
      </c>
      <c r="K10" s="41" t="s">
        <v>272</v>
      </c>
      <c r="L10" s="41" t="s">
        <v>273</v>
      </c>
      <c r="M10" s="41" t="s">
        <v>272</v>
      </c>
      <c r="N10" s="41" t="s">
        <v>276</v>
      </c>
      <c r="O10" s="54" t="s">
        <v>277</v>
      </c>
      <c r="P10" s="46">
        <v>1</v>
      </c>
      <c r="Q10" s="43" t="s">
        <v>278</v>
      </c>
    </row>
    <row r="11" spans="1:18" s="44" customFormat="1" ht="21.6">
      <c r="A11" s="119"/>
      <c r="B11" s="40" t="s">
        <v>279</v>
      </c>
      <c r="C11" s="47" t="s">
        <v>280</v>
      </c>
      <c r="D11" s="41" t="s">
        <v>281</v>
      </c>
      <c r="E11" s="47" t="s">
        <v>280</v>
      </c>
      <c r="F11" s="41" t="s">
        <v>281</v>
      </c>
      <c r="G11" s="41" t="s">
        <v>281</v>
      </c>
      <c r="H11" s="41" t="s">
        <v>281</v>
      </c>
      <c r="I11" s="41" t="s">
        <v>281</v>
      </c>
      <c r="J11" s="41" t="s">
        <v>282</v>
      </c>
      <c r="K11" s="41" t="s">
        <v>281</v>
      </c>
      <c r="L11" s="41" t="s">
        <v>281</v>
      </c>
      <c r="M11" s="47" t="s">
        <v>280</v>
      </c>
      <c r="N11" s="41" t="s">
        <v>283</v>
      </c>
      <c r="O11" s="55" t="s">
        <v>284</v>
      </c>
      <c r="P11" s="48">
        <f>4/7</f>
        <v>0.5714285714285714</v>
      </c>
      <c r="Q11" s="43" t="s">
        <v>285</v>
      </c>
    </row>
    <row r="12" spans="1:18" s="44" customFormat="1" ht="43.2">
      <c r="A12" s="120"/>
      <c r="B12" s="40" t="s">
        <v>286</v>
      </c>
      <c r="C12" s="47" t="s">
        <v>287</v>
      </c>
      <c r="D12" s="41" t="s">
        <v>288</v>
      </c>
      <c r="E12" s="47" t="s">
        <v>287</v>
      </c>
      <c r="F12" s="41" t="s">
        <v>288</v>
      </c>
      <c r="G12" s="41" t="s">
        <v>288</v>
      </c>
      <c r="H12" s="41" t="s">
        <v>288</v>
      </c>
      <c r="I12" s="41" t="s">
        <v>288</v>
      </c>
      <c r="J12" s="41" t="s">
        <v>288</v>
      </c>
      <c r="K12" s="41" t="s">
        <v>288</v>
      </c>
      <c r="L12" s="41" t="s">
        <v>288</v>
      </c>
      <c r="M12" s="47" t="s">
        <v>287</v>
      </c>
      <c r="N12" s="41"/>
      <c r="O12" s="54" t="s">
        <v>289</v>
      </c>
      <c r="P12" s="48"/>
      <c r="Q12" s="43"/>
    </row>
    <row r="13" spans="1:18" s="44" customFormat="1" ht="43.2">
      <c r="A13" s="116" t="s">
        <v>290</v>
      </c>
      <c r="B13" s="40" t="s">
        <v>291</v>
      </c>
      <c r="C13" s="47" t="s">
        <v>292</v>
      </c>
      <c r="D13" s="47" t="s">
        <v>292</v>
      </c>
      <c r="E13" s="47" t="s">
        <v>292</v>
      </c>
      <c r="F13" s="41" t="s">
        <v>293</v>
      </c>
      <c r="G13" s="41" t="s">
        <v>294</v>
      </c>
      <c r="H13" s="41" t="s">
        <v>294</v>
      </c>
      <c r="I13" s="41" t="s">
        <v>294</v>
      </c>
      <c r="J13" s="41" t="s">
        <v>295</v>
      </c>
      <c r="K13" s="47" t="s">
        <v>292</v>
      </c>
      <c r="L13" s="47" t="s">
        <v>292</v>
      </c>
      <c r="M13" s="47" t="s">
        <v>292</v>
      </c>
      <c r="N13" s="41" t="s">
        <v>294</v>
      </c>
      <c r="O13" s="54" t="s">
        <v>296</v>
      </c>
      <c r="P13" s="48">
        <f>3/7</f>
        <v>0.42857142857142855</v>
      </c>
      <c r="Q13" s="43" t="s">
        <v>297</v>
      </c>
    </row>
    <row r="14" spans="1:18" s="44" customFormat="1">
      <c r="A14" s="116"/>
      <c r="B14" s="40" t="s">
        <v>298</v>
      </c>
      <c r="C14" s="41" t="s">
        <v>299</v>
      </c>
      <c r="D14" s="41" t="s">
        <v>300</v>
      </c>
      <c r="E14" s="41" t="s">
        <v>299</v>
      </c>
      <c r="F14" s="41" t="s">
        <v>301</v>
      </c>
      <c r="G14" s="41" t="s">
        <v>302</v>
      </c>
      <c r="H14" s="47" t="s">
        <v>303</v>
      </c>
      <c r="I14" s="53" t="s">
        <v>304</v>
      </c>
      <c r="J14" s="41" t="s">
        <v>299</v>
      </c>
      <c r="K14" s="41" t="s">
        <v>300</v>
      </c>
      <c r="L14" s="41" t="s">
        <v>300</v>
      </c>
      <c r="M14" s="41" t="s">
        <v>299</v>
      </c>
      <c r="N14" s="41" t="s">
        <v>305</v>
      </c>
      <c r="O14" s="54" t="s">
        <v>305</v>
      </c>
      <c r="P14" s="46">
        <f>6/7</f>
        <v>0.8571428571428571</v>
      </c>
      <c r="Q14" s="43" t="s">
        <v>306</v>
      </c>
    </row>
    <row r="15" spans="1:18" s="44" customFormat="1">
      <c r="A15" s="116"/>
      <c r="B15" s="40" t="s">
        <v>307</v>
      </c>
      <c r="C15" s="41" t="s">
        <v>308</v>
      </c>
      <c r="D15" s="41" t="s">
        <v>308</v>
      </c>
      <c r="E15" s="41" t="s">
        <v>308</v>
      </c>
      <c r="F15" s="41" t="s">
        <v>308</v>
      </c>
      <c r="G15" s="41" t="s">
        <v>308</v>
      </c>
      <c r="H15" s="41" t="s">
        <v>308</v>
      </c>
      <c r="I15" s="53" t="s">
        <v>308</v>
      </c>
      <c r="J15" s="41" t="s">
        <v>308</v>
      </c>
      <c r="K15" s="41" t="s">
        <v>308</v>
      </c>
      <c r="L15" s="41" t="s">
        <v>308</v>
      </c>
      <c r="M15" s="41" t="s">
        <v>308</v>
      </c>
      <c r="N15" s="41" t="s">
        <v>226</v>
      </c>
      <c r="O15" s="54" t="s">
        <v>226</v>
      </c>
      <c r="P15" s="46">
        <v>1</v>
      </c>
      <c r="Q15" s="43"/>
    </row>
    <row r="16" spans="1:18" s="44" customFormat="1">
      <c r="A16" s="116"/>
      <c r="B16" s="40" t="s">
        <v>309</v>
      </c>
      <c r="C16" s="41" t="s">
        <v>310</v>
      </c>
      <c r="D16" s="41" t="s">
        <v>310</v>
      </c>
      <c r="E16" s="41" t="s">
        <v>310</v>
      </c>
      <c r="F16" s="41" t="s">
        <v>310</v>
      </c>
      <c r="G16" s="41" t="s">
        <v>310</v>
      </c>
      <c r="H16" s="41" t="s">
        <v>310</v>
      </c>
      <c r="I16" s="53" t="s">
        <v>310</v>
      </c>
      <c r="J16" s="41" t="s">
        <v>310</v>
      </c>
      <c r="K16" s="41" t="s">
        <v>310</v>
      </c>
      <c r="L16" s="41" t="s">
        <v>310</v>
      </c>
      <c r="M16" s="41" t="s">
        <v>310</v>
      </c>
      <c r="N16" s="41" t="s">
        <v>310</v>
      </c>
      <c r="O16" s="54" t="s">
        <v>310</v>
      </c>
      <c r="P16" s="46">
        <v>1</v>
      </c>
      <c r="Q16" s="43"/>
    </row>
    <row r="17" spans="1:17" s="44" customFormat="1">
      <c r="A17" s="116"/>
      <c r="B17" s="50" t="s">
        <v>311</v>
      </c>
      <c r="C17" s="41"/>
      <c r="D17" s="41"/>
      <c r="E17" s="41"/>
      <c r="F17" s="41"/>
      <c r="G17" s="41"/>
      <c r="H17" s="41"/>
      <c r="I17" s="53"/>
      <c r="J17" s="41"/>
      <c r="K17" s="41"/>
      <c r="L17" s="41"/>
      <c r="M17" s="41"/>
      <c r="N17" s="51"/>
      <c r="O17" s="52"/>
    </row>
    <row r="18" spans="1:17" s="44" customFormat="1">
      <c r="A18" s="116"/>
      <c r="B18" s="50" t="s">
        <v>312</v>
      </c>
      <c r="C18" s="41"/>
      <c r="D18" s="41"/>
      <c r="E18" s="41"/>
      <c r="F18" s="41"/>
      <c r="G18" s="41"/>
      <c r="H18" s="41"/>
      <c r="I18" s="53"/>
      <c r="J18" s="41"/>
      <c r="K18" s="41"/>
      <c r="L18" s="41"/>
      <c r="M18" s="41"/>
      <c r="N18" s="51"/>
      <c r="O18" s="52"/>
    </row>
    <row r="19" spans="1:17" s="44" customFormat="1" ht="21.6">
      <c r="A19" s="116"/>
      <c r="B19" s="50" t="s">
        <v>313</v>
      </c>
      <c r="C19" s="41"/>
      <c r="D19" s="41"/>
      <c r="E19" s="41"/>
      <c r="F19" s="41"/>
      <c r="G19" s="41"/>
      <c r="H19" s="41"/>
      <c r="I19" s="53"/>
      <c r="J19" s="41"/>
      <c r="K19" s="41"/>
      <c r="L19" s="41"/>
      <c r="M19" s="41"/>
      <c r="N19" s="51"/>
      <c r="O19" s="52"/>
    </row>
    <row r="20" spans="1:17" s="44" customFormat="1" ht="21.6">
      <c r="A20" s="116"/>
      <c r="B20" s="50" t="s">
        <v>314</v>
      </c>
      <c r="C20" s="41"/>
      <c r="D20" s="41"/>
      <c r="E20" s="41"/>
      <c r="F20" s="41"/>
      <c r="G20" s="41"/>
      <c r="H20" s="41"/>
      <c r="I20" s="53"/>
      <c r="J20" s="41"/>
      <c r="K20" s="41"/>
      <c r="L20" s="41"/>
      <c r="M20" s="41"/>
      <c r="N20" s="51"/>
      <c r="O20" s="52"/>
    </row>
    <row r="21" spans="1:17" s="44" customFormat="1" ht="31.8">
      <c r="A21" s="116"/>
      <c r="B21" s="50" t="s">
        <v>315</v>
      </c>
      <c r="C21" s="41"/>
      <c r="D21" s="41"/>
      <c r="E21" s="41"/>
      <c r="F21" s="41"/>
      <c r="G21" s="41"/>
      <c r="H21" s="41"/>
      <c r="I21" s="53"/>
      <c r="J21" s="41"/>
      <c r="K21" s="41"/>
      <c r="L21" s="41"/>
      <c r="M21" s="41"/>
      <c r="N21" s="51"/>
      <c r="O21" s="52"/>
    </row>
    <row r="22" spans="1:17" s="44" customFormat="1" ht="31.8">
      <c r="A22" s="116"/>
      <c r="B22" s="40" t="s">
        <v>316</v>
      </c>
      <c r="C22" s="47" t="s">
        <v>317</v>
      </c>
      <c r="D22" s="47" t="s">
        <v>317</v>
      </c>
      <c r="E22" s="47" t="s">
        <v>317</v>
      </c>
      <c r="F22" s="47" t="s">
        <v>317</v>
      </c>
      <c r="G22" s="47" t="s">
        <v>317</v>
      </c>
      <c r="H22" s="47" t="s">
        <v>317</v>
      </c>
      <c r="I22" s="47" t="s">
        <v>317</v>
      </c>
      <c r="J22" s="41" t="s">
        <v>318</v>
      </c>
      <c r="K22" s="47" t="s">
        <v>317</v>
      </c>
      <c r="L22" s="47" t="s">
        <v>317</v>
      </c>
      <c r="M22" s="47" t="s">
        <v>317</v>
      </c>
      <c r="N22" s="41" t="s">
        <v>310</v>
      </c>
      <c r="O22" s="54" t="s">
        <v>317</v>
      </c>
      <c r="P22" s="48">
        <f>1/7</f>
        <v>0.14285714285714285</v>
      </c>
      <c r="Q22" s="43" t="s">
        <v>319</v>
      </c>
    </row>
    <row r="23" spans="1:17" s="44" customFormat="1" ht="15" customHeight="1">
      <c r="A23" s="116"/>
      <c r="B23" s="40" t="s">
        <v>320</v>
      </c>
      <c r="C23" s="56"/>
      <c r="D23" s="56"/>
      <c r="E23" s="56"/>
      <c r="F23" s="56"/>
      <c r="G23" s="56"/>
      <c r="H23" s="56"/>
      <c r="I23" s="56" t="s">
        <v>321</v>
      </c>
      <c r="J23" s="56"/>
      <c r="K23" s="56"/>
      <c r="L23" s="56"/>
      <c r="M23" s="56"/>
      <c r="N23" s="56"/>
      <c r="O23" s="54" t="s">
        <v>322</v>
      </c>
      <c r="P23" s="48"/>
      <c r="Q23" s="43"/>
    </row>
    <row r="24" spans="1:17" s="44" customFormat="1">
      <c r="A24" s="116"/>
      <c r="B24" s="40" t="s">
        <v>323</v>
      </c>
      <c r="C24" s="41" t="s">
        <v>324</v>
      </c>
      <c r="D24" s="41" t="s">
        <v>325</v>
      </c>
      <c r="E24" s="41" t="s">
        <v>324</v>
      </c>
      <c r="F24" s="41" t="s">
        <v>326</v>
      </c>
      <c r="G24" s="41" t="s">
        <v>325</v>
      </c>
      <c r="H24" s="41" t="s">
        <v>327</v>
      </c>
      <c r="I24" s="41" t="s">
        <v>325</v>
      </c>
      <c r="J24" s="41" t="s">
        <v>325</v>
      </c>
      <c r="K24" s="41" t="s">
        <v>325</v>
      </c>
      <c r="L24" s="41" t="s">
        <v>325</v>
      </c>
      <c r="M24" s="41" t="s">
        <v>324</v>
      </c>
      <c r="N24" s="41" t="s">
        <v>266</v>
      </c>
      <c r="O24" s="54" t="s">
        <v>328</v>
      </c>
      <c r="P24" s="46"/>
      <c r="Q24" s="43"/>
    </row>
    <row r="25" spans="1:17" s="44" customFormat="1" ht="21.6">
      <c r="A25" s="116" t="s">
        <v>114</v>
      </c>
      <c r="B25" s="57" t="s">
        <v>329</v>
      </c>
      <c r="C25" s="41" t="s">
        <v>330</v>
      </c>
      <c r="D25" s="41" t="s">
        <v>330</v>
      </c>
      <c r="E25" s="41" t="s">
        <v>330</v>
      </c>
      <c r="F25" s="41" t="s">
        <v>330</v>
      </c>
      <c r="G25" s="41" t="s">
        <v>330</v>
      </c>
      <c r="H25" s="41" t="s">
        <v>330</v>
      </c>
      <c r="I25" s="41" t="s">
        <v>322</v>
      </c>
      <c r="J25" s="41" t="s">
        <v>116</v>
      </c>
      <c r="K25" s="41" t="s">
        <v>330</v>
      </c>
      <c r="L25" s="41" t="s">
        <v>330</v>
      </c>
      <c r="M25" s="41" t="s">
        <v>330</v>
      </c>
      <c r="N25" s="41" t="s">
        <v>331</v>
      </c>
      <c r="O25" s="54" t="s">
        <v>331</v>
      </c>
      <c r="P25" s="46">
        <v>1</v>
      </c>
      <c r="Q25" s="43" t="s">
        <v>332</v>
      </c>
    </row>
    <row r="26" spans="1:17" s="44" customFormat="1">
      <c r="A26" s="116"/>
      <c r="B26" s="57" t="s">
        <v>333</v>
      </c>
      <c r="C26" s="41">
        <v>4</v>
      </c>
      <c r="D26" s="41">
        <v>4</v>
      </c>
      <c r="E26" s="41">
        <v>4</v>
      </c>
      <c r="F26" s="41">
        <v>4</v>
      </c>
      <c r="G26" s="41">
        <v>4</v>
      </c>
      <c r="H26" s="41">
        <v>4</v>
      </c>
      <c r="I26" s="41">
        <v>4</v>
      </c>
      <c r="J26" s="41">
        <v>4</v>
      </c>
      <c r="K26" s="41">
        <v>4</v>
      </c>
      <c r="L26" s="41">
        <v>4</v>
      </c>
      <c r="M26" s="41">
        <v>4</v>
      </c>
      <c r="N26" s="41" t="s">
        <v>334</v>
      </c>
      <c r="O26" s="54" t="s">
        <v>334</v>
      </c>
      <c r="P26" s="46">
        <v>1</v>
      </c>
      <c r="Q26" s="43"/>
    </row>
    <row r="27" spans="1:17" s="44" customFormat="1" ht="15" thickBot="1">
      <c r="A27" s="117"/>
      <c r="B27" s="58" t="s">
        <v>335</v>
      </c>
      <c r="C27" s="59" t="s">
        <v>336</v>
      </c>
      <c r="D27" s="59" t="s">
        <v>336</v>
      </c>
      <c r="E27" s="59" t="s">
        <v>336</v>
      </c>
      <c r="F27" s="59" t="s">
        <v>336</v>
      </c>
      <c r="G27" s="59" t="s">
        <v>336</v>
      </c>
      <c r="H27" s="59" t="s">
        <v>336</v>
      </c>
      <c r="I27" s="59" t="s">
        <v>336</v>
      </c>
      <c r="J27" s="59" t="s">
        <v>337</v>
      </c>
      <c r="K27" s="59" t="s">
        <v>336</v>
      </c>
      <c r="L27" s="59" t="s">
        <v>336</v>
      </c>
      <c r="M27" s="59" t="s">
        <v>336</v>
      </c>
      <c r="N27" s="59" t="s">
        <v>336</v>
      </c>
      <c r="O27" s="60" t="s">
        <v>336</v>
      </c>
      <c r="P27" s="61">
        <v>1</v>
      </c>
      <c r="Q27" s="62"/>
    </row>
    <row r="28" spans="1:17" s="44" customFormat="1" ht="15" thickBot="1">
      <c r="A28" s="63"/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4"/>
    </row>
    <row r="29" spans="1:17" s="44" customFormat="1" ht="31.8">
      <c r="A29" s="65" t="s">
        <v>338</v>
      </c>
      <c r="B29" s="66"/>
      <c r="C29" s="112" t="s">
        <v>6</v>
      </c>
      <c r="D29" s="112"/>
      <c r="E29" s="112" t="s">
        <v>5</v>
      </c>
      <c r="F29" s="112"/>
      <c r="G29" s="67" t="s">
        <v>228</v>
      </c>
      <c r="H29" s="67" t="s">
        <v>172</v>
      </c>
      <c r="I29" s="67" t="s">
        <v>229</v>
      </c>
      <c r="J29" s="67" t="s">
        <v>7</v>
      </c>
      <c r="K29" s="112" t="s">
        <v>230</v>
      </c>
      <c r="L29" s="112"/>
      <c r="M29" s="66"/>
      <c r="N29" s="68"/>
      <c r="O29" s="69"/>
    </row>
    <row r="30" spans="1:17" s="44" customFormat="1" ht="32.4" thickBot="1">
      <c r="A30" s="40"/>
      <c r="B30" s="40"/>
      <c r="C30" s="41" t="s">
        <v>234</v>
      </c>
      <c r="D30" s="41" t="s">
        <v>235</v>
      </c>
      <c r="E30" s="41" t="s">
        <v>234</v>
      </c>
      <c r="F30" s="41" t="s">
        <v>236</v>
      </c>
      <c r="G30" s="41" t="s">
        <v>237</v>
      </c>
      <c r="H30" s="41" t="s">
        <v>238</v>
      </c>
      <c r="I30" s="41" t="s">
        <v>239</v>
      </c>
      <c r="J30" s="41" t="s">
        <v>240</v>
      </c>
      <c r="K30" s="41" t="s">
        <v>241</v>
      </c>
      <c r="L30" s="41" t="s">
        <v>234</v>
      </c>
      <c r="M30" s="65" t="s">
        <v>339</v>
      </c>
      <c r="N30" s="68" t="s">
        <v>243</v>
      </c>
      <c r="O30" s="70" t="s">
        <v>340</v>
      </c>
    </row>
    <row r="31" spans="1:17" s="44" customFormat="1" ht="52.2">
      <c r="A31" s="40" t="s">
        <v>246</v>
      </c>
      <c r="B31" s="40" t="s">
        <v>247</v>
      </c>
      <c r="C31" s="41" t="s">
        <v>248</v>
      </c>
      <c r="D31" s="41" t="s">
        <v>249</v>
      </c>
      <c r="E31" s="41" t="s">
        <v>248</v>
      </c>
      <c r="F31" s="41" t="s">
        <v>249</v>
      </c>
      <c r="G31" s="41" t="s">
        <v>250</v>
      </c>
      <c r="H31" s="41" t="s">
        <v>249</v>
      </c>
      <c r="I31" s="41" t="s">
        <v>249</v>
      </c>
      <c r="J31" s="41" t="s">
        <v>253</v>
      </c>
      <c r="K31" s="41" t="s">
        <v>341</v>
      </c>
      <c r="L31" s="41" t="s">
        <v>248</v>
      </c>
      <c r="M31" s="65"/>
      <c r="N31" s="71" t="s">
        <v>342</v>
      </c>
      <c r="O31" s="72"/>
    </row>
    <row r="32" spans="1:17" s="44" customFormat="1">
      <c r="A32" s="115" t="s">
        <v>270</v>
      </c>
      <c r="B32" s="40" t="s">
        <v>271</v>
      </c>
      <c r="C32" s="41" t="s">
        <v>272</v>
      </c>
      <c r="D32" s="41" t="s">
        <v>272</v>
      </c>
      <c r="E32" s="41" t="s">
        <v>272</v>
      </c>
      <c r="F32" s="41" t="s">
        <v>272</v>
      </c>
      <c r="G32" s="41" t="s">
        <v>272</v>
      </c>
      <c r="H32" s="41" t="s">
        <v>272</v>
      </c>
      <c r="I32" s="41" t="s">
        <v>274</v>
      </c>
      <c r="J32" s="41" t="s">
        <v>343</v>
      </c>
      <c r="K32" s="41" t="s">
        <v>343</v>
      </c>
      <c r="L32" s="41" t="s">
        <v>272</v>
      </c>
      <c r="M32" s="41" t="s">
        <v>276</v>
      </c>
      <c r="N32" s="73" t="s">
        <v>344</v>
      </c>
      <c r="O32" s="52"/>
    </row>
    <row r="33" spans="1:15" s="44" customFormat="1">
      <c r="A33" s="115"/>
      <c r="B33" s="50" t="s">
        <v>258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51"/>
      <c r="O33" s="52"/>
    </row>
    <row r="34" spans="1:15" s="44" customFormat="1">
      <c r="A34" s="115"/>
      <c r="B34" s="50" t="s">
        <v>259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51"/>
      <c r="O34" s="52"/>
    </row>
    <row r="35" spans="1:15" s="44" customFormat="1">
      <c r="A35" s="115"/>
      <c r="B35" s="40" t="s">
        <v>260</v>
      </c>
      <c r="C35" s="41" t="s">
        <v>261</v>
      </c>
      <c r="D35" s="53" t="s">
        <v>262</v>
      </c>
      <c r="E35" s="41" t="s">
        <v>261</v>
      </c>
      <c r="F35" s="41" t="s">
        <v>262</v>
      </c>
      <c r="G35" s="41" t="s">
        <v>263</v>
      </c>
      <c r="H35" s="41" t="s">
        <v>264</v>
      </c>
      <c r="I35" s="41" t="s">
        <v>265</v>
      </c>
      <c r="J35" s="41" t="s">
        <v>265</v>
      </c>
      <c r="K35" s="41" t="s">
        <v>265</v>
      </c>
      <c r="L35" s="41" t="s">
        <v>261</v>
      </c>
      <c r="M35" s="41" t="s">
        <v>266</v>
      </c>
      <c r="N35" s="51" t="s">
        <v>267</v>
      </c>
      <c r="O35" s="52"/>
    </row>
    <row r="36" spans="1:15" s="44" customFormat="1">
      <c r="A36" s="115"/>
      <c r="B36" s="50" t="s">
        <v>268</v>
      </c>
      <c r="C36" s="41"/>
      <c r="D36" s="53"/>
      <c r="E36" s="41"/>
      <c r="F36" s="41"/>
      <c r="G36" s="41"/>
      <c r="H36" s="41"/>
      <c r="I36" s="41"/>
      <c r="J36" s="41"/>
      <c r="K36" s="41"/>
      <c r="L36" s="41"/>
      <c r="M36" s="41"/>
      <c r="N36" s="51"/>
      <c r="O36" s="52"/>
    </row>
    <row r="37" spans="1:15" s="44" customFormat="1" ht="21.6">
      <c r="A37" s="115"/>
      <c r="B37" s="50" t="s">
        <v>269</v>
      </c>
      <c r="C37" s="41"/>
      <c r="D37" s="53"/>
      <c r="E37" s="41"/>
      <c r="F37" s="41"/>
      <c r="G37" s="41"/>
      <c r="H37" s="41"/>
      <c r="I37" s="41"/>
      <c r="J37" s="41"/>
      <c r="K37" s="41"/>
      <c r="L37" s="41"/>
      <c r="M37" s="41"/>
      <c r="N37" s="51"/>
      <c r="O37" s="52"/>
    </row>
    <row r="38" spans="1:15" s="44" customFormat="1">
      <c r="A38" s="115"/>
      <c r="B38" s="40" t="s">
        <v>279</v>
      </c>
      <c r="C38" s="47" t="s">
        <v>280</v>
      </c>
      <c r="D38" s="41" t="s">
        <v>281</v>
      </c>
      <c r="E38" s="47" t="s">
        <v>280</v>
      </c>
      <c r="F38" s="41" t="s">
        <v>281</v>
      </c>
      <c r="G38" s="41" t="s">
        <v>281</v>
      </c>
      <c r="H38" s="41" t="s">
        <v>281</v>
      </c>
      <c r="I38" s="41" t="s">
        <v>281</v>
      </c>
      <c r="J38" s="41" t="s">
        <v>281</v>
      </c>
      <c r="K38" s="41" t="s">
        <v>281</v>
      </c>
      <c r="L38" s="47" t="s">
        <v>280</v>
      </c>
      <c r="M38" s="41" t="s">
        <v>283</v>
      </c>
      <c r="N38" s="74" t="s">
        <v>284</v>
      </c>
      <c r="O38" s="52"/>
    </row>
    <row r="39" spans="1:15" s="44" customFormat="1" ht="42">
      <c r="A39" s="115"/>
      <c r="B39" s="40" t="s">
        <v>345</v>
      </c>
      <c r="C39" s="47" t="s">
        <v>287</v>
      </c>
      <c r="D39" s="41" t="s">
        <v>288</v>
      </c>
      <c r="E39" s="47" t="s">
        <v>287</v>
      </c>
      <c r="F39" s="41" t="s">
        <v>288</v>
      </c>
      <c r="G39" s="41" t="s">
        <v>288</v>
      </c>
      <c r="H39" s="41" t="s">
        <v>288</v>
      </c>
      <c r="I39" s="41" t="s">
        <v>288</v>
      </c>
      <c r="J39" s="41" t="s">
        <v>288</v>
      </c>
      <c r="K39" s="41" t="s">
        <v>288</v>
      </c>
      <c r="L39" s="41" t="s">
        <v>288</v>
      </c>
      <c r="M39" s="41"/>
      <c r="N39" s="51" t="s">
        <v>289</v>
      </c>
      <c r="O39" s="52"/>
    </row>
    <row r="40" spans="1:15" s="44" customFormat="1" ht="41.4">
      <c r="A40" s="115" t="s">
        <v>290</v>
      </c>
      <c r="B40" s="40" t="s">
        <v>291</v>
      </c>
      <c r="C40" s="47" t="s">
        <v>292</v>
      </c>
      <c r="D40" s="47" t="s">
        <v>292</v>
      </c>
      <c r="E40" s="47" t="s">
        <v>292</v>
      </c>
      <c r="F40" s="41" t="s">
        <v>293</v>
      </c>
      <c r="G40" s="41" t="s">
        <v>294</v>
      </c>
      <c r="H40" s="41" t="s">
        <v>294</v>
      </c>
      <c r="I40" s="41" t="s">
        <v>294</v>
      </c>
      <c r="J40" s="47" t="s">
        <v>292</v>
      </c>
      <c r="K40" s="47" t="s">
        <v>292</v>
      </c>
      <c r="L40" s="47" t="s">
        <v>292</v>
      </c>
      <c r="M40" s="41" t="s">
        <v>294</v>
      </c>
      <c r="N40" s="73" t="s">
        <v>296</v>
      </c>
      <c r="O40" s="52"/>
    </row>
    <row r="41" spans="1:15" s="44" customFormat="1">
      <c r="A41" s="115"/>
      <c r="B41" s="40" t="s">
        <v>298</v>
      </c>
      <c r="C41" s="41" t="s">
        <v>299</v>
      </c>
      <c r="D41" s="41" t="s">
        <v>300</v>
      </c>
      <c r="E41" s="41" t="s">
        <v>299</v>
      </c>
      <c r="F41" s="41" t="s">
        <v>301</v>
      </c>
      <c r="G41" s="41" t="s">
        <v>302</v>
      </c>
      <c r="H41" s="47" t="s">
        <v>303</v>
      </c>
      <c r="I41" s="53" t="s">
        <v>304</v>
      </c>
      <c r="J41" s="41" t="s">
        <v>300</v>
      </c>
      <c r="K41" s="41" t="s">
        <v>300</v>
      </c>
      <c r="L41" s="41" t="s">
        <v>299</v>
      </c>
      <c r="M41" s="41" t="s">
        <v>305</v>
      </c>
      <c r="N41" s="51" t="s">
        <v>305</v>
      </c>
      <c r="O41" s="52"/>
    </row>
    <row r="42" spans="1:15" s="44" customFormat="1">
      <c r="A42" s="115"/>
      <c r="B42" s="40" t="s">
        <v>307</v>
      </c>
      <c r="C42" s="41" t="s">
        <v>308</v>
      </c>
      <c r="D42" s="41" t="s">
        <v>308</v>
      </c>
      <c r="E42" s="41" t="s">
        <v>308</v>
      </c>
      <c r="F42" s="41" t="s">
        <v>308</v>
      </c>
      <c r="G42" s="41" t="s">
        <v>308</v>
      </c>
      <c r="H42" s="41" t="s">
        <v>308</v>
      </c>
      <c r="I42" s="53" t="s">
        <v>308</v>
      </c>
      <c r="J42" s="41" t="s">
        <v>308</v>
      </c>
      <c r="K42" s="41" t="s">
        <v>308</v>
      </c>
      <c r="L42" s="41" t="s">
        <v>308</v>
      </c>
      <c r="M42" s="41" t="s">
        <v>226</v>
      </c>
      <c r="N42" s="73" t="s">
        <v>226</v>
      </c>
      <c r="O42" s="52"/>
    </row>
    <row r="43" spans="1:15" s="44" customFormat="1">
      <c r="A43" s="115"/>
      <c r="B43" s="40" t="s">
        <v>346</v>
      </c>
      <c r="C43" s="41"/>
      <c r="D43" s="41"/>
      <c r="E43" s="41"/>
      <c r="F43" s="41"/>
      <c r="G43" s="41"/>
      <c r="H43" s="41"/>
      <c r="I43" s="53"/>
      <c r="J43" s="41"/>
      <c r="K43" s="41"/>
      <c r="L43" s="41"/>
      <c r="M43" s="41"/>
      <c r="N43" s="51"/>
      <c r="O43" s="52"/>
    </row>
    <row r="44" spans="1:15" s="44" customFormat="1">
      <c r="A44" s="115"/>
      <c r="B44" s="40" t="s">
        <v>309</v>
      </c>
      <c r="C44" s="41" t="s">
        <v>310</v>
      </c>
      <c r="D44" s="41" t="s">
        <v>310</v>
      </c>
      <c r="E44" s="41" t="s">
        <v>310</v>
      </c>
      <c r="F44" s="41" t="s">
        <v>310</v>
      </c>
      <c r="G44" s="41" t="s">
        <v>310</v>
      </c>
      <c r="H44" s="41" t="s">
        <v>310</v>
      </c>
      <c r="I44" s="53" t="s">
        <v>310</v>
      </c>
      <c r="J44" s="41" t="s">
        <v>310</v>
      </c>
      <c r="K44" s="41" t="s">
        <v>310</v>
      </c>
      <c r="L44" s="41" t="s">
        <v>310</v>
      </c>
      <c r="M44" s="41" t="s">
        <v>310</v>
      </c>
      <c r="N44" s="73" t="e">
        <f>N40Yes</f>
        <v>#NAME?</v>
      </c>
      <c r="O44" s="52"/>
    </row>
    <row r="45" spans="1:15" s="44" customFormat="1">
      <c r="A45" s="115"/>
      <c r="B45" s="50" t="s">
        <v>311</v>
      </c>
      <c r="C45" s="41"/>
      <c r="D45" s="41"/>
      <c r="E45" s="41"/>
      <c r="F45" s="41"/>
      <c r="G45" s="41"/>
      <c r="H45" s="41"/>
      <c r="I45" s="53"/>
      <c r="J45" s="41"/>
      <c r="K45" s="41"/>
      <c r="L45" s="41"/>
      <c r="M45" s="41"/>
      <c r="N45" s="51"/>
      <c r="O45" s="52"/>
    </row>
    <row r="46" spans="1:15" s="44" customFormat="1">
      <c r="A46" s="115"/>
      <c r="B46" s="50" t="s">
        <v>312</v>
      </c>
      <c r="C46" s="41"/>
      <c r="D46" s="41"/>
      <c r="E46" s="41"/>
      <c r="F46" s="41"/>
      <c r="G46" s="41"/>
      <c r="H46" s="41"/>
      <c r="I46" s="53"/>
      <c r="J46" s="41"/>
      <c r="K46" s="41"/>
      <c r="L46" s="41"/>
      <c r="M46" s="41"/>
      <c r="N46" s="51"/>
      <c r="O46" s="52"/>
    </row>
    <row r="47" spans="1:15" s="44" customFormat="1" ht="21.6">
      <c r="A47" s="115"/>
      <c r="B47" s="50" t="s">
        <v>313</v>
      </c>
      <c r="C47" s="41"/>
      <c r="D47" s="41"/>
      <c r="E47" s="41"/>
      <c r="F47" s="41"/>
      <c r="G47" s="41"/>
      <c r="H47" s="41"/>
      <c r="I47" s="53"/>
      <c r="J47" s="41"/>
      <c r="K47" s="41"/>
      <c r="L47" s="41"/>
      <c r="M47" s="41"/>
      <c r="N47" s="51"/>
      <c r="O47" s="52"/>
    </row>
    <row r="48" spans="1:15" s="44" customFormat="1" ht="21.6">
      <c r="A48" s="115"/>
      <c r="B48" s="50" t="s">
        <v>314</v>
      </c>
      <c r="C48" s="41"/>
      <c r="D48" s="41"/>
      <c r="E48" s="41"/>
      <c r="F48" s="41"/>
      <c r="G48" s="41"/>
      <c r="H48" s="41"/>
      <c r="I48" s="53"/>
      <c r="J48" s="41"/>
      <c r="K48" s="41"/>
      <c r="L48" s="41"/>
      <c r="M48" s="41"/>
      <c r="N48" s="51"/>
      <c r="O48" s="52"/>
    </row>
    <row r="49" spans="1:15" s="44" customFormat="1" ht="31.8">
      <c r="A49" s="115"/>
      <c r="B49" s="50" t="s">
        <v>315</v>
      </c>
      <c r="C49" s="41"/>
      <c r="D49" s="41"/>
      <c r="E49" s="41"/>
      <c r="F49" s="41"/>
      <c r="G49" s="41"/>
      <c r="H49" s="41"/>
      <c r="I49" s="53"/>
      <c r="J49" s="41"/>
      <c r="K49" s="41"/>
      <c r="L49" s="41"/>
      <c r="M49" s="41"/>
      <c r="N49" s="51"/>
      <c r="O49" s="52"/>
    </row>
    <row r="50" spans="1:15" s="44" customFormat="1">
      <c r="A50" s="115"/>
      <c r="B50" s="40" t="s">
        <v>316</v>
      </c>
      <c r="C50" s="47" t="s">
        <v>317</v>
      </c>
      <c r="D50" s="47" t="s">
        <v>317</v>
      </c>
      <c r="E50" s="47" t="s">
        <v>317</v>
      </c>
      <c r="F50" s="47" t="s">
        <v>317</v>
      </c>
      <c r="G50" s="47" t="s">
        <v>317</v>
      </c>
      <c r="H50" s="47" t="s">
        <v>317</v>
      </c>
      <c r="I50" s="47" t="s">
        <v>317</v>
      </c>
      <c r="J50" s="47" t="s">
        <v>317</v>
      </c>
      <c r="K50" s="47" t="s">
        <v>317</v>
      </c>
      <c r="L50" s="47" t="s">
        <v>317</v>
      </c>
      <c r="M50" s="41" t="s">
        <v>310</v>
      </c>
      <c r="N50" s="51" t="s">
        <v>317</v>
      </c>
      <c r="O50" s="52"/>
    </row>
    <row r="51" spans="1:15" s="44" customFormat="1">
      <c r="A51" s="115"/>
      <c r="B51" s="40" t="s">
        <v>320</v>
      </c>
      <c r="C51" s="56"/>
      <c r="D51" s="56"/>
      <c r="E51" s="56"/>
      <c r="F51" s="56"/>
      <c r="G51" s="56"/>
      <c r="H51" s="56"/>
      <c r="I51" s="56" t="s">
        <v>321</v>
      </c>
      <c r="J51" s="56"/>
      <c r="K51" s="56"/>
      <c r="L51" s="56"/>
      <c r="M51" s="56"/>
      <c r="N51" s="51" t="s">
        <v>322</v>
      </c>
      <c r="O51" s="52"/>
    </row>
    <row r="52" spans="1:15" s="44" customFormat="1">
      <c r="A52" s="115"/>
      <c r="B52" s="40" t="s">
        <v>323</v>
      </c>
      <c r="C52" s="41" t="s">
        <v>347</v>
      </c>
      <c r="D52" s="41" t="s">
        <v>325</v>
      </c>
      <c r="E52" s="41" t="s">
        <v>324</v>
      </c>
      <c r="F52" s="41" t="s">
        <v>326</v>
      </c>
      <c r="G52" s="41" t="s">
        <v>325</v>
      </c>
      <c r="H52" s="41" t="s">
        <v>327</v>
      </c>
      <c r="I52" s="41" t="s">
        <v>325</v>
      </c>
      <c r="J52" s="41" t="s">
        <v>325</v>
      </c>
      <c r="K52" s="41" t="s">
        <v>325</v>
      </c>
      <c r="L52" s="41" t="s">
        <v>324</v>
      </c>
      <c r="M52" s="41" t="s">
        <v>266</v>
      </c>
      <c r="N52" s="51" t="s">
        <v>328</v>
      </c>
      <c r="O52" s="52" t="s">
        <v>348</v>
      </c>
    </row>
    <row r="53" spans="1:15" s="44" customFormat="1">
      <c r="A53" s="115" t="s">
        <v>114</v>
      </c>
      <c r="B53" s="57" t="s">
        <v>329</v>
      </c>
      <c r="C53" s="41" t="s">
        <v>330</v>
      </c>
      <c r="D53" s="41" t="s">
        <v>330</v>
      </c>
      <c r="E53" s="41" t="s">
        <v>330</v>
      </c>
      <c r="F53" s="41" t="s">
        <v>330</v>
      </c>
      <c r="G53" s="41" t="s">
        <v>330</v>
      </c>
      <c r="H53" s="41" t="s">
        <v>330</v>
      </c>
      <c r="I53" s="41" t="s">
        <v>322</v>
      </c>
      <c r="J53" s="41" t="s">
        <v>330</v>
      </c>
      <c r="K53" s="41" t="s">
        <v>330</v>
      </c>
      <c r="L53" s="41" t="s">
        <v>330</v>
      </c>
      <c r="M53" s="41" t="s">
        <v>331</v>
      </c>
      <c r="N53" s="51" t="s">
        <v>116</v>
      </c>
      <c r="O53" s="52"/>
    </row>
    <row r="54" spans="1:15" s="44" customFormat="1">
      <c r="A54" s="115"/>
      <c r="B54" s="57" t="s">
        <v>333</v>
      </c>
      <c r="C54" s="41">
        <v>3</v>
      </c>
      <c r="D54" s="41">
        <v>3</v>
      </c>
      <c r="E54" s="41">
        <v>3</v>
      </c>
      <c r="F54" s="41">
        <v>3</v>
      </c>
      <c r="G54" s="41">
        <v>3</v>
      </c>
      <c r="H54" s="41">
        <v>3</v>
      </c>
      <c r="I54" s="41">
        <v>3</v>
      </c>
      <c r="J54" s="41">
        <v>3</v>
      </c>
      <c r="K54" s="41">
        <v>3</v>
      </c>
      <c r="L54" s="41">
        <v>3</v>
      </c>
      <c r="M54" s="41">
        <v>3</v>
      </c>
      <c r="N54" s="51" t="s">
        <v>349</v>
      </c>
      <c r="O54" s="52"/>
    </row>
    <row r="55" spans="1:15" s="44" customFormat="1" ht="15" thickBot="1">
      <c r="A55" s="121"/>
      <c r="B55" s="75" t="s">
        <v>335</v>
      </c>
      <c r="C55" s="76" t="s">
        <v>336</v>
      </c>
      <c r="D55" s="76" t="s">
        <v>336</v>
      </c>
      <c r="E55" s="76" t="s">
        <v>336</v>
      </c>
      <c r="F55" s="76" t="s">
        <v>336</v>
      </c>
      <c r="G55" s="76" t="s">
        <v>336</v>
      </c>
      <c r="H55" s="59" t="s">
        <v>336</v>
      </c>
      <c r="I55" s="59" t="s">
        <v>336</v>
      </c>
      <c r="J55" s="59" t="s">
        <v>336</v>
      </c>
      <c r="K55" s="59" t="s">
        <v>336</v>
      </c>
      <c r="L55" s="59" t="s">
        <v>336</v>
      </c>
      <c r="M55" s="59" t="s">
        <v>336</v>
      </c>
      <c r="N55" s="77" t="s">
        <v>336</v>
      </c>
      <c r="O55" s="52"/>
    </row>
    <row r="56" spans="1:15" s="44" customFormat="1" ht="15" thickBot="1">
      <c r="A56" s="78" t="s">
        <v>350</v>
      </c>
      <c r="B56" s="79"/>
      <c r="C56" s="80" t="s">
        <v>229</v>
      </c>
      <c r="D56" s="81" t="s">
        <v>1</v>
      </c>
      <c r="E56" s="79"/>
      <c r="F56" s="82"/>
      <c r="G56" s="83"/>
    </row>
    <row r="57" spans="1:15" s="44" customFormat="1" ht="22.2" thickBot="1">
      <c r="A57" s="84"/>
      <c r="B57" s="85"/>
      <c r="C57" s="86" t="s">
        <v>239</v>
      </c>
      <c r="D57" s="87" t="s">
        <v>238</v>
      </c>
      <c r="E57" s="88" t="s">
        <v>351</v>
      </c>
      <c r="F57" s="89" t="s">
        <v>243</v>
      </c>
      <c r="G57" s="90"/>
    </row>
    <row r="58" spans="1:15" s="44" customFormat="1" ht="21.6">
      <c r="A58" s="91" t="s">
        <v>246</v>
      </c>
      <c r="B58" s="92" t="s">
        <v>247</v>
      </c>
      <c r="C58" s="41" t="s">
        <v>249</v>
      </c>
      <c r="D58" s="93" t="s">
        <v>252</v>
      </c>
      <c r="E58" s="92"/>
      <c r="F58" s="94"/>
      <c r="G58" s="95"/>
    </row>
    <row r="59" spans="1:15" s="44" customFormat="1">
      <c r="A59" s="116" t="s">
        <v>270</v>
      </c>
      <c r="B59" s="40" t="s">
        <v>271</v>
      </c>
      <c r="C59" s="41" t="s">
        <v>274</v>
      </c>
      <c r="D59" s="41" t="s">
        <v>272</v>
      </c>
      <c r="E59" s="41" t="s">
        <v>276</v>
      </c>
      <c r="F59" s="96" t="s">
        <v>344</v>
      </c>
      <c r="G59" s="97"/>
    </row>
    <row r="60" spans="1:15" s="44" customFormat="1">
      <c r="A60" s="116"/>
      <c r="B60" s="50" t="s">
        <v>258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51"/>
      <c r="O60" s="52"/>
    </row>
    <row r="61" spans="1:15" s="44" customFormat="1">
      <c r="A61" s="116"/>
      <c r="B61" s="50" t="s">
        <v>259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51"/>
      <c r="O61" s="52"/>
    </row>
    <row r="62" spans="1:15" s="44" customFormat="1">
      <c r="A62" s="116"/>
      <c r="B62" s="40" t="s">
        <v>260</v>
      </c>
      <c r="C62" s="41" t="s">
        <v>261</v>
      </c>
      <c r="D62" s="53" t="s">
        <v>262</v>
      </c>
      <c r="E62" s="41" t="s">
        <v>261</v>
      </c>
      <c r="F62" s="41" t="s">
        <v>262</v>
      </c>
      <c r="G62" s="41" t="s">
        <v>263</v>
      </c>
      <c r="H62" s="41" t="s">
        <v>264</v>
      </c>
      <c r="I62" s="41" t="s">
        <v>265</v>
      </c>
      <c r="J62" s="41" t="s">
        <v>265</v>
      </c>
      <c r="K62" s="41" t="s">
        <v>265</v>
      </c>
      <c r="L62" s="41" t="s">
        <v>261</v>
      </c>
      <c r="M62" s="41" t="s">
        <v>266</v>
      </c>
      <c r="N62" s="51" t="s">
        <v>267</v>
      </c>
      <c r="O62" s="52"/>
    </row>
    <row r="63" spans="1:15" s="44" customFormat="1">
      <c r="A63" s="116"/>
      <c r="B63" s="50" t="s">
        <v>268</v>
      </c>
      <c r="C63" s="41"/>
      <c r="D63" s="53"/>
      <c r="E63" s="41"/>
      <c r="F63" s="41"/>
      <c r="G63" s="41"/>
      <c r="H63" s="41"/>
      <c r="I63" s="41"/>
      <c r="J63" s="41"/>
      <c r="K63" s="41"/>
      <c r="L63" s="41"/>
      <c r="M63" s="41"/>
      <c r="N63" s="51"/>
      <c r="O63" s="52"/>
    </row>
    <row r="64" spans="1:15" s="44" customFormat="1" ht="21.6">
      <c r="A64" s="116"/>
      <c r="B64" s="50" t="s">
        <v>269</v>
      </c>
      <c r="C64" s="41"/>
      <c r="D64" s="53"/>
      <c r="E64" s="41"/>
      <c r="F64" s="41"/>
      <c r="G64" s="41"/>
      <c r="H64" s="41"/>
      <c r="I64" s="41"/>
      <c r="J64" s="41"/>
      <c r="K64" s="41"/>
      <c r="L64" s="41"/>
      <c r="M64" s="41"/>
      <c r="N64" s="51"/>
      <c r="O64" s="52"/>
    </row>
    <row r="65" spans="1:7" s="44" customFormat="1" ht="21.6">
      <c r="A65" s="116"/>
      <c r="B65" s="40" t="s">
        <v>260</v>
      </c>
      <c r="C65" s="41" t="s">
        <v>265</v>
      </c>
      <c r="D65" s="41" t="s">
        <v>352</v>
      </c>
      <c r="E65" s="41" t="s">
        <v>266</v>
      </c>
      <c r="F65" s="96" t="s">
        <v>267</v>
      </c>
      <c r="G65" s="97"/>
    </row>
    <row r="66" spans="1:7" s="44" customFormat="1">
      <c r="A66" s="116"/>
      <c r="B66" s="40" t="s">
        <v>279</v>
      </c>
      <c r="C66" s="41" t="s">
        <v>281</v>
      </c>
      <c r="D66" s="41" t="s">
        <v>282</v>
      </c>
      <c r="E66" s="41" t="s">
        <v>283</v>
      </c>
      <c r="F66" s="98" t="s">
        <v>284</v>
      </c>
      <c r="G66" s="97"/>
    </row>
    <row r="67" spans="1:7" s="44" customFormat="1" ht="52.2">
      <c r="A67" s="116"/>
      <c r="B67" s="40" t="s">
        <v>345</v>
      </c>
      <c r="C67" s="41" t="s">
        <v>288</v>
      </c>
      <c r="D67" s="41"/>
      <c r="E67" s="41"/>
      <c r="F67" s="96" t="s">
        <v>289</v>
      </c>
      <c r="G67" s="97"/>
    </row>
    <row r="68" spans="1:7" s="44" customFormat="1" ht="62.4">
      <c r="A68" s="116" t="s">
        <v>290</v>
      </c>
      <c r="B68" s="40" t="s">
        <v>291</v>
      </c>
      <c r="C68" s="41" t="s">
        <v>294</v>
      </c>
      <c r="D68" s="41" t="s">
        <v>294</v>
      </c>
      <c r="E68" s="41" t="s">
        <v>294</v>
      </c>
      <c r="F68" s="96" t="s">
        <v>296</v>
      </c>
      <c r="G68" s="97"/>
    </row>
    <row r="69" spans="1:7" s="44" customFormat="1">
      <c r="A69" s="116"/>
      <c r="B69" s="40" t="s">
        <v>298</v>
      </c>
      <c r="C69" s="53" t="s">
        <v>304</v>
      </c>
      <c r="D69" s="41" t="s">
        <v>299</v>
      </c>
      <c r="E69" s="41" t="s">
        <v>305</v>
      </c>
      <c r="F69" s="96" t="s">
        <v>305</v>
      </c>
      <c r="G69" s="97"/>
    </row>
    <row r="70" spans="1:7" s="44" customFormat="1">
      <c r="A70" s="116"/>
      <c r="B70" s="40" t="s">
        <v>307</v>
      </c>
      <c r="C70" s="53" t="s">
        <v>308</v>
      </c>
      <c r="D70" s="41" t="s">
        <v>308</v>
      </c>
      <c r="E70" s="41" t="s">
        <v>308</v>
      </c>
      <c r="F70" s="96" t="s">
        <v>308</v>
      </c>
      <c r="G70" s="97"/>
    </row>
    <row r="71" spans="1:7" s="44" customFormat="1">
      <c r="A71" s="116"/>
      <c r="B71" s="40" t="s">
        <v>309</v>
      </c>
      <c r="C71" s="53" t="s">
        <v>310</v>
      </c>
      <c r="D71" s="41" t="s">
        <v>310</v>
      </c>
      <c r="E71" s="41" t="s">
        <v>310</v>
      </c>
      <c r="F71" s="96" t="s">
        <v>310</v>
      </c>
      <c r="G71" s="97"/>
    </row>
    <row r="72" spans="1:7" s="44" customFormat="1">
      <c r="A72" s="116"/>
      <c r="B72" s="50" t="s">
        <v>311</v>
      </c>
      <c r="C72" s="41"/>
      <c r="D72" s="41"/>
      <c r="E72" s="41"/>
      <c r="F72" s="41"/>
      <c r="G72" s="99"/>
    </row>
    <row r="73" spans="1:7" s="44" customFormat="1">
      <c r="A73" s="116"/>
      <c r="B73" s="50" t="s">
        <v>312</v>
      </c>
      <c r="C73" s="41"/>
      <c r="D73" s="41"/>
      <c r="E73" s="41"/>
      <c r="F73" s="41"/>
      <c r="G73" s="99"/>
    </row>
    <row r="74" spans="1:7" s="44" customFormat="1" ht="21.6">
      <c r="A74" s="116"/>
      <c r="B74" s="50" t="s">
        <v>313</v>
      </c>
      <c r="C74" s="41"/>
      <c r="D74" s="41"/>
      <c r="E74" s="41"/>
      <c r="F74" s="41"/>
      <c r="G74" s="99"/>
    </row>
    <row r="75" spans="1:7" s="44" customFormat="1" ht="21.6">
      <c r="A75" s="116"/>
      <c r="B75" s="50" t="s">
        <v>314</v>
      </c>
      <c r="C75" s="41"/>
      <c r="D75" s="41"/>
      <c r="E75" s="41"/>
      <c r="F75" s="41"/>
      <c r="G75" s="99"/>
    </row>
    <row r="76" spans="1:7" s="44" customFormat="1" ht="31.8">
      <c r="A76" s="116"/>
      <c r="B76" s="50" t="s">
        <v>315</v>
      </c>
      <c r="C76" s="41"/>
      <c r="D76" s="41"/>
      <c r="E76" s="41"/>
      <c r="F76" s="41"/>
      <c r="G76" s="99"/>
    </row>
    <row r="77" spans="1:7" s="44" customFormat="1">
      <c r="A77" s="116"/>
      <c r="B77" s="40" t="s">
        <v>316</v>
      </c>
      <c r="C77" s="47" t="s">
        <v>317</v>
      </c>
      <c r="D77" s="41" t="s">
        <v>318</v>
      </c>
      <c r="E77" s="41" t="s">
        <v>310</v>
      </c>
      <c r="F77" s="96" t="s">
        <v>317</v>
      </c>
      <c r="G77" s="97"/>
    </row>
    <row r="78" spans="1:7" s="44" customFormat="1">
      <c r="A78" s="116"/>
      <c r="B78" s="40" t="s">
        <v>320</v>
      </c>
      <c r="C78" s="56" t="s">
        <v>321</v>
      </c>
      <c r="D78" s="56" t="s">
        <v>353</v>
      </c>
      <c r="E78" s="56" t="s">
        <v>353</v>
      </c>
      <c r="F78" s="96" t="s">
        <v>353</v>
      </c>
      <c r="G78" s="97"/>
    </row>
    <row r="79" spans="1:7" s="44" customFormat="1">
      <c r="A79" s="116"/>
      <c r="B79" s="40" t="s">
        <v>323</v>
      </c>
      <c r="C79" s="41" t="s">
        <v>325</v>
      </c>
      <c r="D79" s="41" t="s">
        <v>325</v>
      </c>
      <c r="E79" s="41" t="s">
        <v>266</v>
      </c>
      <c r="F79" s="96" t="s">
        <v>328</v>
      </c>
      <c r="G79" s="97"/>
    </row>
    <row r="80" spans="1:7" s="44" customFormat="1">
      <c r="A80" s="116" t="s">
        <v>114</v>
      </c>
      <c r="B80" s="57" t="s">
        <v>329</v>
      </c>
      <c r="C80" s="41" t="s">
        <v>322</v>
      </c>
      <c r="D80" s="41" t="s">
        <v>116</v>
      </c>
      <c r="E80" s="41" t="s">
        <v>331</v>
      </c>
      <c r="F80" s="96" t="s">
        <v>354</v>
      </c>
      <c r="G80" s="97"/>
    </row>
    <row r="81" spans="1:16" s="44" customFormat="1">
      <c r="A81" s="116"/>
      <c r="B81" s="57" t="s">
        <v>333</v>
      </c>
      <c r="C81" s="41" t="s">
        <v>322</v>
      </c>
      <c r="D81" s="41">
        <v>4</v>
      </c>
      <c r="E81" s="41" t="s">
        <v>334</v>
      </c>
      <c r="F81" s="96" t="s">
        <v>334</v>
      </c>
      <c r="G81" s="97"/>
    </row>
    <row r="82" spans="1:16" s="44" customFormat="1" ht="15" thickBot="1">
      <c r="A82" s="117"/>
      <c r="B82" s="58" t="s">
        <v>335</v>
      </c>
      <c r="C82" s="59" t="s">
        <v>336</v>
      </c>
      <c r="D82" s="59" t="s">
        <v>337</v>
      </c>
      <c r="E82" s="59" t="s">
        <v>336</v>
      </c>
      <c r="F82" s="100" t="s">
        <v>336</v>
      </c>
      <c r="G82" s="101"/>
    </row>
    <row r="83" spans="1:16" ht="15" thickBot="1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3"/>
    </row>
    <row r="84" spans="1:16">
      <c r="A84" s="104" t="s">
        <v>355</v>
      </c>
      <c r="B84" s="105"/>
      <c r="C84" s="122" t="s">
        <v>6</v>
      </c>
      <c r="D84" s="122"/>
      <c r="E84" s="122" t="s">
        <v>5</v>
      </c>
      <c r="F84" s="122"/>
      <c r="G84" s="106" t="s">
        <v>228</v>
      </c>
      <c r="H84" s="106" t="s">
        <v>172</v>
      </c>
      <c r="I84" s="106"/>
      <c r="J84" s="106" t="s">
        <v>1</v>
      </c>
      <c r="K84" s="106" t="s">
        <v>7</v>
      </c>
      <c r="L84" s="122" t="s">
        <v>230</v>
      </c>
      <c r="M84" s="122"/>
      <c r="N84" s="105"/>
      <c r="O84" s="107"/>
      <c r="P84" s="108" t="s">
        <v>231</v>
      </c>
    </row>
    <row r="85" spans="1:16" ht="31.8">
      <c r="A85" s="39"/>
      <c r="B85" s="40" t="s">
        <v>355</v>
      </c>
      <c r="C85" s="41" t="s">
        <v>234</v>
      </c>
      <c r="D85" s="41" t="s">
        <v>235</v>
      </c>
      <c r="E85" s="41" t="s">
        <v>234</v>
      </c>
      <c r="F85" s="41" t="s">
        <v>236</v>
      </c>
      <c r="G85" s="41" t="s">
        <v>237</v>
      </c>
      <c r="H85" s="41" t="s">
        <v>238</v>
      </c>
      <c r="I85" s="41"/>
      <c r="J85" s="41" t="s">
        <v>238</v>
      </c>
      <c r="K85" s="41" t="s">
        <v>240</v>
      </c>
      <c r="L85" s="41" t="s">
        <v>241</v>
      </c>
      <c r="M85" s="41" t="s">
        <v>234</v>
      </c>
      <c r="N85" s="40" t="s">
        <v>339</v>
      </c>
      <c r="O85" s="68"/>
      <c r="P85" s="97"/>
    </row>
    <row r="86" spans="1:16">
      <c r="A86" s="118" t="s">
        <v>356</v>
      </c>
      <c r="B86" s="40" t="s">
        <v>357</v>
      </c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0"/>
      <c r="O86" s="68"/>
      <c r="P86" s="97"/>
    </row>
    <row r="87" spans="1:16">
      <c r="A87" s="120"/>
      <c r="B87" s="40" t="s">
        <v>358</v>
      </c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0"/>
      <c r="O87" s="68"/>
      <c r="P87" s="97"/>
    </row>
    <row r="88" spans="1:16">
      <c r="A88" s="116" t="s">
        <v>290</v>
      </c>
      <c r="B88" s="40" t="s">
        <v>291</v>
      </c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68"/>
      <c r="P88" s="97"/>
    </row>
    <row r="89" spans="1:16">
      <c r="A89" s="116"/>
      <c r="B89" s="40" t="s">
        <v>298</v>
      </c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68"/>
      <c r="P89" s="97"/>
    </row>
    <row r="90" spans="1:16">
      <c r="A90" s="116"/>
      <c r="B90" s="40" t="s">
        <v>307</v>
      </c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68"/>
      <c r="P90" s="97"/>
    </row>
    <row r="91" spans="1:16">
      <c r="A91" s="116"/>
      <c r="B91" s="40" t="s">
        <v>309</v>
      </c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68"/>
      <c r="P91" s="97"/>
    </row>
    <row r="92" spans="1:16" s="44" customFormat="1">
      <c r="A92" s="116"/>
      <c r="B92" s="50" t="s">
        <v>311</v>
      </c>
      <c r="C92" s="41"/>
      <c r="D92" s="41"/>
      <c r="E92" s="41"/>
      <c r="F92" s="41"/>
      <c r="G92" s="41"/>
      <c r="H92" s="52"/>
      <c r="I92" s="52"/>
      <c r="J92" s="52"/>
      <c r="K92" s="52"/>
      <c r="L92" s="52"/>
      <c r="M92" s="52"/>
      <c r="N92" s="52"/>
      <c r="O92" s="52"/>
      <c r="P92" s="97"/>
    </row>
    <row r="93" spans="1:16" s="44" customFormat="1">
      <c r="A93" s="116"/>
      <c r="B93" s="50" t="s">
        <v>312</v>
      </c>
      <c r="C93" s="41"/>
      <c r="D93" s="41"/>
      <c r="E93" s="41"/>
      <c r="F93" s="41"/>
      <c r="G93" s="41"/>
      <c r="H93" s="52"/>
      <c r="I93" s="52"/>
      <c r="J93" s="52"/>
      <c r="K93" s="52"/>
      <c r="L93" s="52"/>
      <c r="M93" s="52"/>
      <c r="N93" s="52"/>
      <c r="O93" s="52"/>
      <c r="P93" s="97"/>
    </row>
    <row r="94" spans="1:16" s="44" customFormat="1" ht="21.6">
      <c r="A94" s="116"/>
      <c r="B94" s="50" t="s">
        <v>313</v>
      </c>
      <c r="C94" s="41"/>
      <c r="D94" s="41"/>
      <c r="E94" s="41"/>
      <c r="F94" s="41"/>
      <c r="G94" s="41"/>
      <c r="H94" s="52"/>
      <c r="I94" s="52"/>
      <c r="J94" s="52"/>
      <c r="K94" s="52"/>
      <c r="L94" s="52"/>
      <c r="M94" s="52"/>
      <c r="N94" s="52"/>
      <c r="O94" s="52"/>
      <c r="P94" s="97"/>
    </row>
    <row r="95" spans="1:16" s="44" customFormat="1" ht="21.6">
      <c r="A95" s="116"/>
      <c r="B95" s="50" t="s">
        <v>314</v>
      </c>
      <c r="C95" s="41"/>
      <c r="D95" s="41"/>
      <c r="E95" s="41"/>
      <c r="F95" s="41"/>
      <c r="G95" s="41"/>
      <c r="H95" s="52"/>
      <c r="I95" s="52"/>
      <c r="J95" s="52"/>
      <c r="K95" s="52"/>
      <c r="L95" s="52"/>
      <c r="M95" s="52"/>
      <c r="N95" s="52"/>
      <c r="O95" s="52"/>
      <c r="P95" s="97"/>
    </row>
    <row r="96" spans="1:16" s="44" customFormat="1" ht="31.8">
      <c r="A96" s="116"/>
      <c r="B96" s="50" t="s">
        <v>315</v>
      </c>
      <c r="C96" s="41"/>
      <c r="D96" s="41"/>
      <c r="E96" s="41"/>
      <c r="F96" s="41"/>
      <c r="G96" s="41"/>
      <c r="H96" s="52"/>
      <c r="I96" s="52"/>
      <c r="J96" s="52"/>
      <c r="K96" s="52"/>
      <c r="L96" s="52"/>
      <c r="M96" s="52"/>
      <c r="N96" s="52"/>
      <c r="O96" s="52"/>
      <c r="P96" s="97"/>
    </row>
    <row r="97" spans="1:16">
      <c r="A97" s="116"/>
      <c r="B97" s="40" t="s">
        <v>316</v>
      </c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68"/>
      <c r="P97" s="97"/>
    </row>
    <row r="98" spans="1:16" ht="15" thickBot="1">
      <c r="A98" s="117"/>
      <c r="B98" s="109" t="s">
        <v>359</v>
      </c>
      <c r="C98" s="109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09"/>
      <c r="O98" s="110"/>
      <c r="P98" s="101"/>
    </row>
  </sheetData>
  <mergeCells count="23">
    <mergeCell ref="C84:D84"/>
    <mergeCell ref="E84:F84"/>
    <mergeCell ref="L84:M84"/>
    <mergeCell ref="A86:A87"/>
    <mergeCell ref="A88:A98"/>
    <mergeCell ref="A80:A82"/>
    <mergeCell ref="A10:A12"/>
    <mergeCell ref="A13:A24"/>
    <mergeCell ref="A25:A27"/>
    <mergeCell ref="C29:D29"/>
    <mergeCell ref="A32:A39"/>
    <mergeCell ref="A40:A52"/>
    <mergeCell ref="A53:A55"/>
    <mergeCell ref="A59:A67"/>
    <mergeCell ref="A68:A79"/>
    <mergeCell ref="E29:F29"/>
    <mergeCell ref="K29:L29"/>
    <mergeCell ref="C1:D1"/>
    <mergeCell ref="E1:F1"/>
    <mergeCell ref="L1:M1"/>
    <mergeCell ref="C3:D3"/>
    <mergeCell ref="E3:F3"/>
    <mergeCell ref="L3:M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Views>
    <sheetView zoomScale="86" zoomScaleNormal="86" workbookViewId="0">
      <selection sqref="A1:B1"/>
    </sheetView>
  </sheetViews>
  <sheetFormatPr defaultColWidth="8.88671875" defaultRowHeight="10.199999999999999"/>
  <cols>
    <col min="1" max="1" width="8.88671875" style="1"/>
    <col min="2" max="2" width="24.88671875" style="1" customWidth="1"/>
    <col min="3" max="3" width="17.44140625" style="1" customWidth="1"/>
    <col min="4" max="4" width="14.6640625" style="1" customWidth="1"/>
    <col min="5" max="5" width="18.109375" style="1" customWidth="1"/>
    <col min="6" max="6" width="15" style="1" customWidth="1"/>
    <col min="7" max="7" width="19.5546875" style="1" customWidth="1"/>
    <col min="8" max="8" width="19" style="1" customWidth="1"/>
    <col min="9" max="9" width="15.33203125" style="1" customWidth="1"/>
    <col min="10" max="10" width="18.88671875" style="1" customWidth="1"/>
    <col min="11" max="11" width="29.44140625" style="1" bestFit="1" customWidth="1"/>
    <col min="12" max="16384" width="8.88671875" style="1"/>
  </cols>
  <sheetData>
    <row r="1" spans="1:11" ht="24" customHeight="1" thickBot="1">
      <c r="A1" s="141" t="s">
        <v>65</v>
      </c>
      <c r="B1" s="142"/>
      <c r="C1" s="147" t="s">
        <v>66</v>
      </c>
      <c r="D1" s="123" t="s">
        <v>85</v>
      </c>
      <c r="E1" s="123" t="s">
        <v>86</v>
      </c>
      <c r="F1" s="140" t="s">
        <v>87</v>
      </c>
      <c r="G1" s="140" t="s">
        <v>164</v>
      </c>
      <c r="H1" s="138" t="s">
        <v>172</v>
      </c>
      <c r="I1" s="123" t="s">
        <v>0</v>
      </c>
      <c r="J1" s="123" t="s">
        <v>88</v>
      </c>
      <c r="K1" s="123" t="s">
        <v>221</v>
      </c>
    </row>
    <row r="2" spans="1:11" ht="10.95" hidden="1" customHeight="1" thickBot="1">
      <c r="A2" s="143"/>
      <c r="B2" s="144"/>
      <c r="C2" s="148"/>
      <c r="D2" s="123"/>
      <c r="E2" s="123"/>
      <c r="F2" s="140"/>
      <c r="G2" s="140"/>
      <c r="H2" s="138"/>
      <c r="I2" s="123"/>
      <c r="J2" s="123"/>
      <c r="K2" s="123"/>
    </row>
    <row r="3" spans="1:11" ht="10.95" hidden="1" customHeight="1" thickBot="1">
      <c r="A3" s="145"/>
      <c r="B3" s="146"/>
      <c r="C3" s="149"/>
      <c r="D3" s="124"/>
      <c r="E3" s="124"/>
      <c r="F3" s="140"/>
      <c r="G3" s="140"/>
      <c r="H3" s="139"/>
      <c r="I3" s="124"/>
      <c r="J3" s="124"/>
      <c r="K3" s="124"/>
    </row>
    <row r="4" spans="1:11" ht="14.4" thickBot="1">
      <c r="A4" s="136"/>
      <c r="B4" s="2" t="s">
        <v>8</v>
      </c>
      <c r="C4" s="9"/>
      <c r="D4" s="9"/>
      <c r="E4" s="9"/>
      <c r="F4" s="9"/>
      <c r="G4" s="9"/>
      <c r="H4" s="10"/>
      <c r="I4" s="10"/>
      <c r="J4" s="10"/>
      <c r="K4" s="10"/>
    </row>
    <row r="5" spans="1:11" ht="10.8" thickBot="1">
      <c r="A5" s="137"/>
      <c r="B5" s="3" t="s">
        <v>9</v>
      </c>
      <c r="C5" s="11"/>
      <c r="D5" s="11"/>
      <c r="E5" s="11"/>
      <c r="F5" s="11"/>
      <c r="G5" s="11"/>
      <c r="H5" s="11"/>
      <c r="I5" s="11"/>
      <c r="J5" s="5"/>
      <c r="K5" s="5"/>
    </row>
    <row r="6" spans="1:11" ht="10.8" thickBot="1">
      <c r="A6" s="137"/>
      <c r="B6" s="4" t="s">
        <v>3</v>
      </c>
      <c r="C6" s="12" t="s">
        <v>39</v>
      </c>
      <c r="D6" s="12" t="s">
        <v>39</v>
      </c>
      <c r="E6" s="12" t="s">
        <v>193</v>
      </c>
      <c r="F6" s="13" t="s">
        <v>138</v>
      </c>
      <c r="G6" s="13" t="s">
        <v>166</v>
      </c>
      <c r="H6" s="12" t="s">
        <v>125</v>
      </c>
      <c r="I6" s="13"/>
      <c r="J6" s="12" t="s">
        <v>213</v>
      </c>
    </row>
    <row r="7" spans="1:11" ht="76.5" customHeight="1" thickBot="1">
      <c r="A7" s="137"/>
      <c r="B7" s="4" t="s">
        <v>10</v>
      </c>
      <c r="C7" s="12" t="s">
        <v>40</v>
      </c>
      <c r="D7" s="12" t="s">
        <v>67</v>
      </c>
      <c r="E7" s="12" t="s">
        <v>133</v>
      </c>
      <c r="F7" s="14" t="s">
        <v>139</v>
      </c>
      <c r="G7" s="14" t="s">
        <v>165</v>
      </c>
      <c r="H7" s="15" t="s">
        <v>89</v>
      </c>
      <c r="I7" s="15" t="s">
        <v>121</v>
      </c>
      <c r="J7" s="12" t="s">
        <v>174</v>
      </c>
      <c r="K7" s="32" t="s">
        <v>223</v>
      </c>
    </row>
    <row r="8" spans="1:11" ht="32.4" customHeight="1" thickBot="1">
      <c r="A8" s="137"/>
      <c r="B8" s="4" t="s">
        <v>11</v>
      </c>
      <c r="C8" s="12" t="s">
        <v>68</v>
      </c>
      <c r="D8" s="12" t="s">
        <v>68</v>
      </c>
      <c r="E8" s="12" t="s">
        <v>194</v>
      </c>
      <c r="F8" s="12" t="s">
        <v>131</v>
      </c>
      <c r="G8" s="12" t="s">
        <v>171</v>
      </c>
      <c r="H8" s="15" t="s">
        <v>90</v>
      </c>
      <c r="I8" s="13"/>
      <c r="J8" s="12" t="s">
        <v>175</v>
      </c>
      <c r="K8" s="127" t="s">
        <v>224</v>
      </c>
    </row>
    <row r="9" spans="1:11" ht="10.8" thickBot="1">
      <c r="A9" s="137"/>
      <c r="B9" s="2" t="s">
        <v>12</v>
      </c>
      <c r="C9" s="12" t="s">
        <v>41</v>
      </c>
      <c r="D9" s="12" t="s">
        <v>69</v>
      </c>
      <c r="E9" s="13">
        <v>60</v>
      </c>
      <c r="F9" s="14"/>
      <c r="G9" s="14"/>
      <c r="H9" s="15" t="s">
        <v>92</v>
      </c>
      <c r="I9" s="13"/>
      <c r="J9" s="12" t="s">
        <v>176</v>
      </c>
      <c r="K9" s="128"/>
    </row>
    <row r="10" spans="1:11" ht="14.4" thickBot="1">
      <c r="A10" s="137"/>
      <c r="B10" s="2" t="s">
        <v>13</v>
      </c>
      <c r="C10" s="12" t="s">
        <v>42</v>
      </c>
      <c r="D10" s="12" t="s">
        <v>70</v>
      </c>
      <c r="E10" s="13">
        <v>60</v>
      </c>
      <c r="F10" s="14"/>
      <c r="G10" s="14"/>
      <c r="H10" s="15" t="s">
        <v>91</v>
      </c>
      <c r="I10" s="13"/>
      <c r="J10" s="12" t="s">
        <v>177</v>
      </c>
      <c r="K10" s="128"/>
    </row>
    <row r="11" spans="1:11" ht="21" thickBot="1">
      <c r="A11" s="137"/>
      <c r="B11" s="2" t="s">
        <v>14</v>
      </c>
      <c r="C11" s="12" t="s">
        <v>43</v>
      </c>
      <c r="D11" s="12" t="s">
        <v>43</v>
      </c>
      <c r="E11" s="13" t="s">
        <v>43</v>
      </c>
      <c r="F11" s="15" t="s">
        <v>140</v>
      </c>
      <c r="G11" s="15" t="s">
        <v>170</v>
      </c>
      <c r="H11" s="15" t="s">
        <v>93</v>
      </c>
      <c r="I11" s="13"/>
      <c r="J11" s="12"/>
      <c r="K11" s="128"/>
    </row>
    <row r="12" spans="1:11" ht="10.95" customHeight="1" thickBot="1">
      <c r="A12" s="137"/>
      <c r="B12" s="2" t="s">
        <v>15</v>
      </c>
      <c r="C12" s="12" t="s">
        <v>44</v>
      </c>
      <c r="D12" s="12" t="s">
        <v>71</v>
      </c>
      <c r="E12" s="13" t="s">
        <v>195</v>
      </c>
      <c r="F12" s="14"/>
      <c r="G12" s="14"/>
      <c r="H12" s="15" t="s">
        <v>94</v>
      </c>
      <c r="I12" s="13"/>
      <c r="J12" s="12"/>
      <c r="K12" s="128"/>
    </row>
    <row r="13" spans="1:11" ht="10.95" customHeight="1" thickBot="1">
      <c r="A13" s="137"/>
      <c r="B13" s="2" t="s">
        <v>16</v>
      </c>
      <c r="C13" s="12" t="s">
        <v>45</v>
      </c>
      <c r="D13" s="12" t="s">
        <v>45</v>
      </c>
      <c r="E13" s="13"/>
      <c r="F13" s="14"/>
      <c r="G13" s="14"/>
      <c r="H13" s="15"/>
      <c r="I13" s="13"/>
      <c r="J13" s="12"/>
      <c r="K13" s="128"/>
    </row>
    <row r="14" spans="1:11" ht="21" thickBot="1">
      <c r="A14" s="137"/>
      <c r="B14" s="2" t="s">
        <v>17</v>
      </c>
      <c r="C14" s="12" t="s">
        <v>46</v>
      </c>
      <c r="D14" s="12" t="s">
        <v>72</v>
      </c>
      <c r="E14" s="13" t="s">
        <v>196</v>
      </c>
      <c r="F14" s="12" t="s">
        <v>141</v>
      </c>
      <c r="G14" s="12"/>
      <c r="H14" s="15" t="s">
        <v>95</v>
      </c>
      <c r="I14" s="13"/>
      <c r="J14" s="12"/>
      <c r="K14" s="128"/>
    </row>
    <row r="15" spans="1:11" ht="10.8" thickBot="1">
      <c r="A15" s="137"/>
      <c r="B15" s="2" t="s">
        <v>112</v>
      </c>
      <c r="C15" s="12" t="s">
        <v>113</v>
      </c>
      <c r="D15" s="12" t="s">
        <v>113</v>
      </c>
      <c r="E15" s="12" t="s">
        <v>113</v>
      </c>
      <c r="F15" s="12" t="s">
        <v>113</v>
      </c>
      <c r="G15" s="12" t="s">
        <v>113</v>
      </c>
      <c r="H15" s="12" t="s">
        <v>113</v>
      </c>
      <c r="I15" s="12"/>
      <c r="J15" s="12" t="s">
        <v>113</v>
      </c>
      <c r="K15" s="128"/>
    </row>
    <row r="16" spans="1:11" ht="10.8" thickBot="1">
      <c r="A16" s="137"/>
      <c r="B16" s="2" t="s">
        <v>215</v>
      </c>
      <c r="C16" s="12" t="s">
        <v>216</v>
      </c>
      <c r="D16" s="12"/>
      <c r="E16" s="12"/>
      <c r="F16" s="12" t="s">
        <v>218</v>
      </c>
      <c r="G16" s="12"/>
      <c r="H16" s="12" t="s">
        <v>113</v>
      </c>
      <c r="I16" s="12"/>
      <c r="J16" s="30" t="s">
        <v>113</v>
      </c>
      <c r="K16" s="128"/>
    </row>
    <row r="17" spans="1:11" ht="10.8" thickBot="1">
      <c r="A17" s="137"/>
      <c r="B17" s="2" t="s">
        <v>217</v>
      </c>
      <c r="C17" s="12" t="s">
        <v>113</v>
      </c>
      <c r="D17" s="12" t="s">
        <v>113</v>
      </c>
      <c r="E17" s="12" t="s">
        <v>113</v>
      </c>
      <c r="F17" s="12" t="s">
        <v>113</v>
      </c>
      <c r="G17" s="12" t="s">
        <v>113</v>
      </c>
      <c r="H17" s="12" t="s">
        <v>113</v>
      </c>
      <c r="I17" s="12"/>
      <c r="J17" s="12" t="s">
        <v>113</v>
      </c>
      <c r="K17" s="128"/>
    </row>
    <row r="18" spans="1:11" ht="20.399999999999999" customHeight="1" thickBot="1">
      <c r="A18" s="137"/>
      <c r="B18" s="2" t="s">
        <v>18</v>
      </c>
      <c r="C18" s="12" t="s">
        <v>47</v>
      </c>
      <c r="D18" s="12" t="s">
        <v>73</v>
      </c>
      <c r="E18" s="12" t="s">
        <v>197</v>
      </c>
      <c r="F18" s="14" t="s">
        <v>142</v>
      </c>
      <c r="G18" s="14"/>
      <c r="H18" s="15" t="s">
        <v>96</v>
      </c>
      <c r="I18" s="13"/>
      <c r="J18" s="27" t="s">
        <v>178</v>
      </c>
      <c r="K18" s="128"/>
    </row>
    <row r="19" spans="1:11" ht="10.8" thickBot="1">
      <c r="A19" s="137"/>
      <c r="B19" s="3" t="s">
        <v>19</v>
      </c>
      <c r="C19" s="5"/>
      <c r="D19" s="5"/>
      <c r="E19" s="5"/>
      <c r="F19" s="5"/>
      <c r="G19" s="5"/>
      <c r="H19" s="6"/>
      <c r="I19" s="6"/>
      <c r="J19" s="6"/>
    </row>
    <row r="20" spans="1:11" ht="31.2" thickBot="1">
      <c r="A20" s="137"/>
      <c r="B20" s="2" t="s">
        <v>20</v>
      </c>
      <c r="C20" s="12" t="s">
        <v>128</v>
      </c>
      <c r="D20" s="12" t="s">
        <v>74</v>
      </c>
      <c r="E20" s="12" t="s">
        <v>198</v>
      </c>
      <c r="F20" s="12" t="s">
        <v>143</v>
      </c>
      <c r="G20" s="12"/>
      <c r="H20" s="15" t="s">
        <v>97</v>
      </c>
      <c r="I20" s="13"/>
      <c r="J20" s="12" t="s">
        <v>179</v>
      </c>
      <c r="K20" s="125" t="s">
        <v>222</v>
      </c>
    </row>
    <row r="21" spans="1:11" ht="10.95" customHeight="1" thickBot="1">
      <c r="A21" s="137"/>
      <c r="B21" s="2" t="s">
        <v>126</v>
      </c>
      <c r="C21" s="12" t="s">
        <v>127</v>
      </c>
      <c r="D21" s="12"/>
      <c r="E21" s="13"/>
      <c r="F21" s="16"/>
      <c r="G21" s="16"/>
      <c r="H21" s="15"/>
      <c r="I21" s="13"/>
      <c r="J21" s="12" t="s">
        <v>179</v>
      </c>
      <c r="K21" s="126"/>
    </row>
    <row r="22" spans="1:11" ht="31.2" thickBot="1">
      <c r="A22" s="137"/>
      <c r="B22" s="2" t="s">
        <v>21</v>
      </c>
      <c r="C22" s="17" t="s">
        <v>130</v>
      </c>
      <c r="D22" s="12" t="s">
        <v>74</v>
      </c>
      <c r="E22" s="13"/>
      <c r="F22" s="16"/>
      <c r="G22" s="16"/>
      <c r="H22" s="15" t="s">
        <v>97</v>
      </c>
      <c r="I22" s="13"/>
      <c r="J22" s="12" t="s">
        <v>179</v>
      </c>
      <c r="K22" s="126"/>
    </row>
    <row r="23" spans="1:11" ht="31.2" thickBot="1">
      <c r="A23" s="137"/>
      <c r="B23" s="2" t="s">
        <v>22</v>
      </c>
      <c r="C23" s="17" t="s">
        <v>129</v>
      </c>
      <c r="D23" s="12" t="s">
        <v>74</v>
      </c>
      <c r="E23" s="12"/>
      <c r="F23" s="18"/>
      <c r="G23" s="18"/>
      <c r="H23" s="15" t="s">
        <v>97</v>
      </c>
      <c r="I23" s="13"/>
      <c r="J23" s="12" t="s">
        <v>179</v>
      </c>
      <c r="K23" s="126"/>
    </row>
    <row r="24" spans="1:11" ht="21" thickBot="1">
      <c r="A24" s="137"/>
      <c r="B24" s="2" t="s">
        <v>23</v>
      </c>
      <c r="C24" s="12" t="s">
        <v>48</v>
      </c>
      <c r="D24" s="12" t="s">
        <v>75</v>
      </c>
      <c r="E24" s="12" t="s">
        <v>137</v>
      </c>
      <c r="F24" s="12" t="s">
        <v>144</v>
      </c>
      <c r="G24" s="12"/>
      <c r="H24" s="19" t="s">
        <v>98</v>
      </c>
      <c r="I24" s="13"/>
      <c r="J24" s="12" t="s">
        <v>180</v>
      </c>
      <c r="K24" s="126"/>
    </row>
    <row r="25" spans="1:11" ht="10.8" thickBot="1">
      <c r="A25" s="137"/>
      <c r="B25" s="3" t="s">
        <v>24</v>
      </c>
      <c r="C25" s="7"/>
      <c r="D25" s="7"/>
      <c r="E25" s="7"/>
      <c r="F25" s="7"/>
      <c r="G25" s="7"/>
      <c r="H25" s="7"/>
      <c r="I25" s="7"/>
      <c r="J25" s="7"/>
    </row>
    <row r="26" spans="1:11" ht="28.2" thickBot="1">
      <c r="A26" s="137"/>
      <c r="B26" s="2" t="s">
        <v>25</v>
      </c>
      <c r="C26" s="12" t="s">
        <v>51</v>
      </c>
      <c r="D26" s="12"/>
      <c r="E26" s="14" t="s">
        <v>199</v>
      </c>
      <c r="F26" s="14" t="s">
        <v>145</v>
      </c>
      <c r="G26" s="14"/>
      <c r="H26" s="15" t="s">
        <v>99</v>
      </c>
      <c r="I26" s="13"/>
      <c r="J26" s="27" t="s">
        <v>181</v>
      </c>
    </row>
    <row r="27" spans="1:11" ht="28.2" thickBot="1">
      <c r="A27" s="137"/>
      <c r="B27" s="2" t="s">
        <v>26</v>
      </c>
      <c r="C27" s="12" t="s">
        <v>49</v>
      </c>
      <c r="D27" s="12" t="s">
        <v>76</v>
      </c>
      <c r="E27" s="13"/>
      <c r="F27" s="14"/>
      <c r="G27" s="14"/>
      <c r="H27" s="15" t="s">
        <v>100</v>
      </c>
      <c r="I27" s="13"/>
      <c r="J27" s="27" t="s">
        <v>182</v>
      </c>
    </row>
    <row r="28" spans="1:11" ht="14.4" thickBot="1">
      <c r="A28" s="137"/>
      <c r="B28" s="2" t="s">
        <v>27</v>
      </c>
      <c r="C28" s="12" t="s">
        <v>50</v>
      </c>
      <c r="D28" s="12" t="s">
        <v>76</v>
      </c>
      <c r="E28" s="13" t="s">
        <v>200</v>
      </c>
      <c r="F28" s="14" t="s">
        <v>146</v>
      </c>
      <c r="G28" s="14"/>
      <c r="H28" s="15"/>
      <c r="I28" s="13"/>
      <c r="J28" s="27" t="s">
        <v>183</v>
      </c>
    </row>
    <row r="29" spans="1:11" ht="10.8" thickBot="1">
      <c r="A29" s="137"/>
      <c r="B29" s="2" t="s">
        <v>28</v>
      </c>
      <c r="C29" s="12" t="s">
        <v>45</v>
      </c>
      <c r="D29" s="12" t="s">
        <v>76</v>
      </c>
      <c r="E29" s="13"/>
      <c r="F29" s="14"/>
      <c r="G29" s="31">
        <v>0.4</v>
      </c>
      <c r="H29" s="15"/>
      <c r="I29" s="13"/>
      <c r="J29" s="13"/>
    </row>
    <row r="30" spans="1:11" ht="10.8" thickBot="1">
      <c r="A30" s="137"/>
      <c r="B30" s="2" t="s">
        <v>214</v>
      </c>
      <c r="C30" s="12" t="s">
        <v>113</v>
      </c>
      <c r="D30" s="12" t="s">
        <v>113</v>
      </c>
      <c r="E30" s="12" t="s">
        <v>113</v>
      </c>
      <c r="F30" s="12" t="s">
        <v>113</v>
      </c>
      <c r="G30" s="12" t="s">
        <v>113</v>
      </c>
      <c r="H30" s="12" t="s">
        <v>113</v>
      </c>
      <c r="I30" s="12" t="s">
        <v>113</v>
      </c>
      <c r="J30" s="12" t="s">
        <v>113</v>
      </c>
    </row>
    <row r="31" spans="1:11" ht="28.2" thickBot="1">
      <c r="A31" s="137"/>
      <c r="B31" s="2" t="s">
        <v>23</v>
      </c>
      <c r="C31" s="12" t="s">
        <v>51</v>
      </c>
      <c r="D31" s="12" t="s">
        <v>51</v>
      </c>
      <c r="E31" s="12" t="s">
        <v>201</v>
      </c>
      <c r="F31" s="14" t="s">
        <v>147</v>
      </c>
      <c r="G31" s="14"/>
      <c r="H31" s="15" t="s">
        <v>101</v>
      </c>
      <c r="I31" s="13"/>
      <c r="J31" s="27" t="s">
        <v>184</v>
      </c>
    </row>
    <row r="32" spans="1:11" ht="21" thickBot="1">
      <c r="A32" s="137"/>
      <c r="B32" s="4" t="s">
        <v>52</v>
      </c>
      <c r="C32" s="12" t="s">
        <v>53</v>
      </c>
      <c r="D32" s="12" t="s">
        <v>67</v>
      </c>
      <c r="E32" s="12" t="s">
        <v>132</v>
      </c>
      <c r="F32" s="12" t="s">
        <v>160</v>
      </c>
      <c r="G32" s="12" t="s">
        <v>167</v>
      </c>
      <c r="H32" s="15" t="s">
        <v>132</v>
      </c>
      <c r="I32" s="15" t="s">
        <v>161</v>
      </c>
      <c r="J32" s="29"/>
      <c r="K32" s="1" t="s">
        <v>225</v>
      </c>
    </row>
    <row r="33" spans="1:11" ht="31.2" thickBot="1">
      <c r="A33" s="137"/>
      <c r="B33" s="4" t="s">
        <v>54</v>
      </c>
      <c r="C33" s="12" t="s">
        <v>55</v>
      </c>
      <c r="D33" s="12" t="s">
        <v>77</v>
      </c>
      <c r="E33" s="12" t="s">
        <v>202</v>
      </c>
      <c r="F33" s="12" t="s">
        <v>148</v>
      </c>
      <c r="G33" s="12" t="s">
        <v>168</v>
      </c>
      <c r="H33" s="15" t="s">
        <v>102</v>
      </c>
      <c r="I33" s="13"/>
      <c r="J33" s="27" t="s">
        <v>189</v>
      </c>
      <c r="K33" s="1" t="s">
        <v>225</v>
      </c>
    </row>
    <row r="34" spans="1:11" ht="14.4" thickBot="1">
      <c r="A34" s="137"/>
      <c r="B34" s="4" t="s">
        <v>122</v>
      </c>
      <c r="C34" s="12" t="s">
        <v>123</v>
      </c>
      <c r="D34" s="20"/>
      <c r="E34" s="12" t="s">
        <v>134</v>
      </c>
      <c r="F34" s="13" t="s">
        <v>159</v>
      </c>
      <c r="G34" s="13" t="s">
        <v>219</v>
      </c>
      <c r="H34" s="15"/>
      <c r="I34" s="13"/>
      <c r="J34" s="27" t="s">
        <v>185</v>
      </c>
    </row>
    <row r="35" spans="1:11" ht="10.8" thickBot="1">
      <c r="A35" s="137"/>
      <c r="B35" s="3" t="s">
        <v>29</v>
      </c>
      <c r="C35" s="5"/>
      <c r="D35" s="5"/>
      <c r="E35" s="5"/>
      <c r="F35" s="5"/>
      <c r="G35" s="5"/>
      <c r="H35" s="6"/>
      <c r="I35" s="6"/>
      <c r="J35" s="6"/>
    </row>
    <row r="36" spans="1:11" ht="10.95" customHeight="1" thickBot="1">
      <c r="A36" s="137"/>
      <c r="B36" s="4" t="s">
        <v>30</v>
      </c>
      <c r="C36" s="12" t="s">
        <v>162</v>
      </c>
      <c r="D36" s="12" t="s">
        <v>163</v>
      </c>
      <c r="E36" s="13"/>
      <c r="F36" s="13"/>
      <c r="G36" s="13"/>
      <c r="H36" s="15" t="s">
        <v>103</v>
      </c>
      <c r="I36" s="13"/>
      <c r="J36" s="131" t="s">
        <v>186</v>
      </c>
    </row>
    <row r="37" spans="1:11" ht="32.4" thickBot="1">
      <c r="A37" s="137"/>
      <c r="B37" s="4" t="s">
        <v>31</v>
      </c>
      <c r="C37" s="12">
        <v>70</v>
      </c>
      <c r="D37" s="12" t="s">
        <v>78</v>
      </c>
      <c r="E37" s="12" t="s">
        <v>135</v>
      </c>
      <c r="F37" s="12" t="s">
        <v>68</v>
      </c>
      <c r="G37" s="12"/>
      <c r="H37" s="15" t="s">
        <v>110</v>
      </c>
      <c r="I37" s="13"/>
      <c r="J37" s="132"/>
    </row>
    <row r="38" spans="1:11" ht="21" thickBot="1">
      <c r="A38" s="137"/>
      <c r="B38" s="4" t="s">
        <v>32</v>
      </c>
      <c r="C38" s="12" t="s">
        <v>56</v>
      </c>
      <c r="D38" s="12" t="s">
        <v>79</v>
      </c>
      <c r="E38" s="12" t="s">
        <v>136</v>
      </c>
      <c r="F38" s="12"/>
      <c r="G38" s="12"/>
      <c r="H38" s="15" t="s">
        <v>111</v>
      </c>
      <c r="I38" s="13"/>
      <c r="J38" s="132"/>
    </row>
    <row r="39" spans="1:11" ht="10.95" customHeight="1" thickBot="1">
      <c r="A39" s="137"/>
      <c r="B39" s="4" t="s">
        <v>33</v>
      </c>
      <c r="C39" s="12">
        <v>3.94</v>
      </c>
      <c r="D39" s="12" t="s">
        <v>45</v>
      </c>
      <c r="E39" s="13"/>
      <c r="F39" s="13"/>
      <c r="G39" s="13"/>
      <c r="H39" s="15" t="s">
        <v>104</v>
      </c>
      <c r="I39" s="13"/>
      <c r="J39" s="132"/>
    </row>
    <row r="40" spans="1:11" ht="10.95" customHeight="1" thickBot="1">
      <c r="A40" s="137"/>
      <c r="B40" s="4" t="s">
        <v>4</v>
      </c>
      <c r="C40" s="12" t="s">
        <v>57</v>
      </c>
      <c r="D40" s="12" t="s">
        <v>150</v>
      </c>
      <c r="E40" s="12" t="s">
        <v>113</v>
      </c>
      <c r="F40" s="12" t="s">
        <v>150</v>
      </c>
      <c r="G40" s="12"/>
      <c r="H40" s="15" t="s">
        <v>105</v>
      </c>
      <c r="I40" s="13"/>
      <c r="J40" s="133"/>
    </row>
    <row r="41" spans="1:11" ht="10.8" thickBot="1">
      <c r="A41" s="137"/>
      <c r="B41" s="4" t="s">
        <v>34</v>
      </c>
      <c r="C41" s="12" t="s">
        <v>58</v>
      </c>
      <c r="D41" s="12" t="s">
        <v>80</v>
      </c>
      <c r="E41" s="13" t="s">
        <v>208</v>
      </c>
      <c r="F41" s="13" t="s">
        <v>149</v>
      </c>
      <c r="G41" s="13"/>
      <c r="H41" s="15" t="s">
        <v>105</v>
      </c>
      <c r="I41" s="13"/>
      <c r="J41" s="13" t="s">
        <v>187</v>
      </c>
    </row>
    <row r="42" spans="1:11" ht="10.95" customHeight="1" thickBot="1">
      <c r="A42" s="137"/>
      <c r="B42" s="4" t="s">
        <v>35</v>
      </c>
      <c r="C42" s="12" t="s">
        <v>59</v>
      </c>
      <c r="D42" s="12" t="s">
        <v>59</v>
      </c>
      <c r="E42" s="13" t="s">
        <v>207</v>
      </c>
      <c r="F42" s="13" t="s">
        <v>151</v>
      </c>
      <c r="G42" s="13"/>
      <c r="H42" s="15"/>
      <c r="I42" s="13"/>
      <c r="J42" s="134"/>
    </row>
    <row r="43" spans="1:11" ht="10.95" customHeight="1" thickBot="1">
      <c r="A43" s="137"/>
      <c r="B43" s="4" t="s">
        <v>36</v>
      </c>
      <c r="C43" s="12" t="s">
        <v>60</v>
      </c>
      <c r="D43" s="12" t="s">
        <v>81</v>
      </c>
      <c r="E43" s="12" t="s">
        <v>206</v>
      </c>
      <c r="F43" s="12" t="s">
        <v>152</v>
      </c>
      <c r="G43" s="12"/>
      <c r="H43" s="15" t="s">
        <v>106</v>
      </c>
      <c r="I43" s="13"/>
      <c r="J43" s="135"/>
    </row>
    <row r="44" spans="1:11" ht="21" thickBot="1">
      <c r="A44" s="137"/>
      <c r="B44" s="2" t="s">
        <v>37</v>
      </c>
      <c r="C44" s="21" t="s">
        <v>61</v>
      </c>
      <c r="D44" s="21" t="s">
        <v>82</v>
      </c>
      <c r="E44" s="12" t="s">
        <v>204</v>
      </c>
      <c r="F44" s="12" t="s">
        <v>153</v>
      </c>
      <c r="G44" s="12" t="s">
        <v>169</v>
      </c>
      <c r="H44" s="22" t="s">
        <v>107</v>
      </c>
      <c r="I44" s="13"/>
      <c r="J44" s="12" t="s">
        <v>192</v>
      </c>
      <c r="K44" s="1" t="s">
        <v>226</v>
      </c>
    </row>
    <row r="45" spans="1:11" ht="28.2" thickBot="1">
      <c r="A45" s="137"/>
      <c r="B45" s="2" t="s">
        <v>23</v>
      </c>
      <c r="C45" s="21" t="s">
        <v>62</v>
      </c>
      <c r="D45" s="21" t="s">
        <v>83</v>
      </c>
      <c r="E45" s="21" t="s">
        <v>205</v>
      </c>
      <c r="F45" s="21" t="s">
        <v>154</v>
      </c>
      <c r="G45" s="21"/>
      <c r="H45" s="22" t="s">
        <v>108</v>
      </c>
      <c r="I45" s="13"/>
      <c r="J45" s="28" t="s">
        <v>188</v>
      </c>
    </row>
    <row r="46" spans="1:11" ht="51.6" thickBot="1">
      <c r="A46" s="137"/>
      <c r="B46" s="2" t="s">
        <v>38</v>
      </c>
      <c r="C46" s="21" t="s">
        <v>63</v>
      </c>
      <c r="D46" s="21" t="s">
        <v>84</v>
      </c>
      <c r="E46" s="21" t="s">
        <v>210</v>
      </c>
      <c r="F46" s="13"/>
      <c r="G46" s="13"/>
      <c r="H46" s="22" t="s">
        <v>117</v>
      </c>
      <c r="I46" s="13"/>
      <c r="J46" s="129"/>
    </row>
    <row r="47" spans="1:11" ht="10.95" customHeight="1" thickBot="1">
      <c r="A47" s="137"/>
      <c r="B47" s="2" t="s">
        <v>64</v>
      </c>
      <c r="C47" s="21" t="s">
        <v>45</v>
      </c>
      <c r="D47" s="21" t="s">
        <v>45</v>
      </c>
      <c r="E47" s="13"/>
      <c r="F47" s="13"/>
      <c r="G47" s="13"/>
      <c r="H47" s="22"/>
      <c r="I47" s="13"/>
      <c r="J47" s="130"/>
    </row>
    <row r="48" spans="1:11" ht="10.8" thickBot="1">
      <c r="A48" s="137"/>
      <c r="B48" s="3" t="s">
        <v>114</v>
      </c>
      <c r="C48" s="23"/>
      <c r="D48" s="23"/>
      <c r="E48" s="23"/>
      <c r="F48" s="23"/>
      <c r="G48" s="23"/>
      <c r="H48" s="23"/>
      <c r="I48" s="23"/>
      <c r="J48" s="23"/>
    </row>
    <row r="49" spans="1:10" ht="31.2" thickBot="1">
      <c r="A49" s="2"/>
      <c r="B49" s="2" t="s">
        <v>115</v>
      </c>
      <c r="C49" s="22" t="s">
        <v>116</v>
      </c>
      <c r="D49" s="13"/>
      <c r="E49" s="22" t="s">
        <v>209</v>
      </c>
      <c r="F49" s="22" t="s">
        <v>116</v>
      </c>
      <c r="G49" s="22"/>
      <c r="H49" s="22" t="s">
        <v>109</v>
      </c>
      <c r="I49" s="22" t="s">
        <v>211</v>
      </c>
      <c r="J49" s="28" t="s">
        <v>212</v>
      </c>
    </row>
    <row r="50" spans="1:10" ht="14.4" thickBot="1">
      <c r="A50" s="2"/>
      <c r="B50" s="2" t="s">
        <v>118</v>
      </c>
      <c r="C50" s="13" t="s">
        <v>158</v>
      </c>
      <c r="D50" s="24" t="s">
        <v>157</v>
      </c>
      <c r="E50" s="13"/>
      <c r="F50" s="24" t="s">
        <v>156</v>
      </c>
      <c r="G50" s="24"/>
      <c r="H50" s="24" t="s">
        <v>157</v>
      </c>
      <c r="I50" s="13"/>
      <c r="J50" s="28" t="s">
        <v>190</v>
      </c>
    </row>
    <row r="51" spans="1:10" ht="82.2" thickBot="1">
      <c r="A51" s="2"/>
      <c r="B51" s="8" t="s">
        <v>2</v>
      </c>
      <c r="C51" s="25" t="s">
        <v>120</v>
      </c>
      <c r="D51" s="25" t="s">
        <v>119</v>
      </c>
      <c r="E51" s="25" t="s">
        <v>203</v>
      </c>
      <c r="F51" s="26" t="s">
        <v>155</v>
      </c>
      <c r="G51" s="26" t="s">
        <v>220</v>
      </c>
      <c r="H51" s="25" t="s">
        <v>173</v>
      </c>
      <c r="I51" s="25" t="s">
        <v>124</v>
      </c>
      <c r="J51" s="12" t="s">
        <v>191</v>
      </c>
    </row>
    <row r="52" spans="1:10" ht="13.8">
      <c r="J52" s="28"/>
    </row>
  </sheetData>
  <mergeCells count="18">
    <mergeCell ref="A4:A48"/>
    <mergeCell ref="D1:D3"/>
    <mergeCell ref="E1:E3"/>
    <mergeCell ref="H1:H3"/>
    <mergeCell ref="I1:I3"/>
    <mergeCell ref="F1:F3"/>
    <mergeCell ref="G1:G3"/>
    <mergeCell ref="A1:B1"/>
    <mergeCell ref="A2:B2"/>
    <mergeCell ref="A3:B3"/>
    <mergeCell ref="C1:C3"/>
    <mergeCell ref="K1:K3"/>
    <mergeCell ref="K20:K24"/>
    <mergeCell ref="K8:K18"/>
    <mergeCell ref="J46:J47"/>
    <mergeCell ref="J1:J3"/>
    <mergeCell ref="J36:J40"/>
    <mergeCell ref="J42:J43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FBFC542B-A440-4B88-AB96-49C45F9059A4}"/>
</file>

<file path=customXml/itemProps2.xml><?xml version="1.0" encoding="utf-8"?>
<ds:datastoreItem xmlns:ds="http://schemas.openxmlformats.org/officeDocument/2006/customXml" ds:itemID="{CE1B0049-229E-4AD3-AFEF-05FA0ECE8F91}"/>
</file>

<file path=customXml/itemProps3.xml><?xml version="1.0" encoding="utf-8"?>
<ds:datastoreItem xmlns:ds="http://schemas.openxmlformats.org/officeDocument/2006/customXml" ds:itemID="{BA3851B0-F700-4D17-972C-7541EF2E93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</vt:lpstr>
      <vt:lpstr>HH</vt:lpstr>
    </vt:vector>
  </TitlesOfParts>
  <Company>Intel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Jomaa</dc:creator>
  <cp:lastModifiedBy>reviewer</cp:lastModifiedBy>
  <dcterms:created xsi:type="dcterms:W3CDTF">2007-03-14T20:22:46Z</dcterms:created>
  <dcterms:modified xsi:type="dcterms:W3CDTF">2018-04-26T23:45:23Z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97e8912b-2b8b-4b56-aed8-5322ce2e0e5c</vt:lpwstr>
  </property>
  <property fmtid="{D5CDD505-2E9C-101B-9397-08002B2CF9AE}" pid="3" name="CTPClassification">
    <vt:lpwstr>CTP_NT</vt:lpwstr>
  </property>
  <property fmtid="{D5CDD505-2E9C-101B-9397-08002B2CF9AE}" pid="4" name="ContentTypeId">
    <vt:lpwstr>0x010100C25921F9D4874B40A69C72F5C132575A</vt:lpwstr>
  </property>
</Properties>
</file>